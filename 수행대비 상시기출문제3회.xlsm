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00_이동화\02 교과\2025 2학년 컴퓨터시스템일반\수행대비\상시기출문제\"/>
    </mc:Choice>
  </mc:AlternateContent>
  <xr:revisionPtr revIDLastSave="0" documentId="8_{51D29D5C-9F70-4127-86C9-92348FF14798}" xr6:coauthVersionLast="47" xr6:coauthVersionMax="47" xr10:uidLastSave="{00000000-0000-0000-0000-000000000000}"/>
  <bookViews>
    <workbookView xWindow="-120" yWindow="-120" windowWidth="29040" windowHeight="15720" tabRatio="899" xr2:uid="{925A5ADD-9389-43EC-B0B6-4A00A02F06B1}"/>
  </bookViews>
  <sheets>
    <sheet name="기본작업-1" sheetId="1" r:id="rId1"/>
    <sheet name="기본작업-2" sheetId="2" r:id="rId2"/>
    <sheet name="기본작업-3" sheetId="3" r:id="rId3"/>
    <sheet name="분석작업-1" sheetId="5" r:id="rId4"/>
    <sheet name="분석작업-2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5" l="1"/>
  <c r="F11" i="5"/>
  <c r="F10" i="5"/>
  <c r="F9" i="5"/>
  <c r="F8" i="5"/>
  <c r="F7" i="5"/>
  <c r="F6" i="5"/>
  <c r="F5" i="5"/>
  <c r="F4" i="5"/>
  <c r="F18" i="3"/>
  <c r="D18" i="3"/>
  <c r="H18" i="3" s="1"/>
  <c r="F17" i="3"/>
  <c r="D17" i="3"/>
  <c r="H17" i="3" s="1"/>
  <c r="H16" i="3"/>
  <c r="F16" i="3"/>
  <c r="D16" i="3"/>
  <c r="F15" i="3"/>
  <c r="H15" i="3" s="1"/>
  <c r="D15" i="3"/>
  <c r="F14" i="3"/>
  <c r="D14" i="3"/>
  <c r="H14" i="3" s="1"/>
  <c r="F13" i="3"/>
  <c r="D13" i="3"/>
  <c r="H13" i="3" s="1"/>
  <c r="H12" i="3"/>
  <c r="F12" i="3"/>
  <c r="D12" i="3"/>
  <c r="F11" i="3"/>
  <c r="H11" i="3" s="1"/>
  <c r="D11" i="3"/>
  <c r="F10" i="3"/>
  <c r="D10" i="3"/>
  <c r="H10" i="3" s="1"/>
  <c r="F9" i="3"/>
  <c r="D9" i="3"/>
  <c r="H9" i="3" s="1"/>
  <c r="H8" i="3"/>
  <c r="F8" i="3"/>
  <c r="D8" i="3"/>
  <c r="F7" i="3"/>
  <c r="H7" i="3" s="1"/>
  <c r="D7" i="3"/>
  <c r="F6" i="3"/>
  <c r="D6" i="3"/>
  <c r="H6" i="3" s="1"/>
  <c r="F5" i="3"/>
  <c r="D5" i="3"/>
  <c r="H5" i="3" s="1"/>
  <c r="H4" i="3"/>
  <c r="F4" i="3"/>
  <c r="D4" i="3"/>
</calcChain>
</file>

<file path=xl/sharedStrings.xml><?xml version="1.0" encoding="utf-8"?>
<sst xmlns="http://schemas.openxmlformats.org/spreadsheetml/2006/main" count="106" uniqueCount="73">
  <si>
    <t>교원확보율</t>
    <phoneticPr fontId="3" type="noConversion"/>
  </si>
  <si>
    <t>인성인증 항목 및 배점표</t>
    <phoneticPr fontId="3" type="noConversion"/>
  </si>
  <si>
    <t>인증영역</t>
    <phoneticPr fontId="3" type="noConversion"/>
  </si>
  <si>
    <t>인증항목</t>
    <phoneticPr fontId="3" type="noConversion"/>
  </si>
  <si>
    <t>내용</t>
    <phoneticPr fontId="3" type="noConversion"/>
  </si>
  <si>
    <t>배점</t>
    <phoneticPr fontId="3" type="noConversion"/>
  </si>
  <si>
    <t>회수</t>
    <phoneticPr fontId="3" type="noConversion"/>
  </si>
  <si>
    <t>최대배점</t>
    <phoneticPr fontId="3" type="noConversion"/>
  </si>
  <si>
    <t>기본영역</t>
    <phoneticPr fontId="3" type="noConversion"/>
  </si>
  <si>
    <t>출석률</t>
    <phoneticPr fontId="3" type="noConversion"/>
  </si>
  <si>
    <t>95~100</t>
    <phoneticPr fontId="3" type="noConversion"/>
  </si>
  <si>
    <t>90~95</t>
    <phoneticPr fontId="3" type="noConversion"/>
  </si>
  <si>
    <t>80~89</t>
    <phoneticPr fontId="3" type="noConversion"/>
  </si>
  <si>
    <t>인성점수</t>
    <phoneticPr fontId="3" type="noConversion"/>
  </si>
  <si>
    <t>문화관람</t>
    <phoneticPr fontId="3" type="noConversion"/>
  </si>
  <si>
    <t>영화/연극/전시회</t>
    <phoneticPr fontId="3" type="noConversion"/>
  </si>
  <si>
    <t>헌혈</t>
    <phoneticPr fontId="3" type="noConversion"/>
  </si>
  <si>
    <t>헌혈참여</t>
    <phoneticPr fontId="3" type="noConversion"/>
  </si>
  <si>
    <t>교외봉사</t>
    <phoneticPr fontId="3" type="noConversion"/>
  </si>
  <si>
    <t>봉사시간</t>
    <phoneticPr fontId="3" type="noConversion"/>
  </si>
  <si>
    <t>컴퓨터활용 성적</t>
    <phoneticPr fontId="3" type="noConversion"/>
  </si>
  <si>
    <t>학번</t>
    <phoneticPr fontId="3" type="noConversion"/>
  </si>
  <si>
    <t>이름</t>
    <phoneticPr fontId="3" type="noConversion"/>
  </si>
  <si>
    <t>중간</t>
    <phoneticPr fontId="3" type="noConversion"/>
  </si>
  <si>
    <t>중간(40)</t>
    <phoneticPr fontId="3" type="noConversion"/>
  </si>
  <si>
    <t>기말</t>
    <phoneticPr fontId="3" type="noConversion"/>
  </si>
  <si>
    <t>기말(40)</t>
    <phoneticPr fontId="3" type="noConversion"/>
  </si>
  <si>
    <t>출석(20)</t>
    <phoneticPr fontId="3" type="noConversion"/>
  </si>
  <si>
    <t>합계</t>
    <phoneticPr fontId="3" type="noConversion"/>
  </si>
  <si>
    <t>김대훈</t>
  </si>
  <si>
    <t>김세인</t>
  </si>
  <si>
    <t>김송희</t>
  </si>
  <si>
    <t>김은지</t>
  </si>
  <si>
    <t>김지수</t>
  </si>
  <si>
    <t>박병재</t>
  </si>
  <si>
    <t>박준희</t>
  </si>
  <si>
    <t>박하늘</t>
  </si>
  <si>
    <t>윤경문</t>
  </si>
  <si>
    <t>이다정</t>
  </si>
  <si>
    <t>이종희</t>
  </si>
  <si>
    <t>임천규</t>
  </si>
  <si>
    <t>임태헌</t>
  </si>
  <si>
    <t>최서현</t>
  </si>
  <si>
    <t>홍주희</t>
  </si>
  <si>
    <t>성명</t>
    <phoneticPr fontId="3" type="noConversion"/>
  </si>
  <si>
    <t>박주영</t>
    <phoneticPr fontId="3" type="noConversion"/>
  </si>
  <si>
    <t>학과</t>
    <phoneticPr fontId="3" type="noConversion"/>
  </si>
  <si>
    <t>소양인증포인트 현황</t>
    <phoneticPr fontId="3" type="noConversion"/>
  </si>
  <si>
    <t>인성봉사</t>
    <phoneticPr fontId="3" type="noConversion"/>
  </si>
  <si>
    <t>교육훈련</t>
    <phoneticPr fontId="3" type="noConversion"/>
  </si>
  <si>
    <t>유아교육</t>
    <phoneticPr fontId="3" type="noConversion"/>
  </si>
  <si>
    <t>강소미</t>
    <phoneticPr fontId="3" type="noConversion"/>
  </si>
  <si>
    <t>정보통신</t>
    <phoneticPr fontId="3" type="noConversion"/>
  </si>
  <si>
    <t>김경호</t>
    <phoneticPr fontId="3" type="noConversion"/>
  </si>
  <si>
    <t>이주현</t>
    <phoneticPr fontId="3" type="noConversion"/>
  </si>
  <si>
    <t>임정민</t>
    <phoneticPr fontId="3" type="noConversion"/>
  </si>
  <si>
    <t>경영정보</t>
    <phoneticPr fontId="3" type="noConversion"/>
  </si>
  <si>
    <t>정소영</t>
    <phoneticPr fontId="3" type="noConversion"/>
  </si>
  <si>
    <t>주경철</t>
    <phoneticPr fontId="3" type="noConversion"/>
  </si>
  <si>
    <t>한기철</t>
    <phoneticPr fontId="3" type="noConversion"/>
  </si>
  <si>
    <t>한보미</t>
    <phoneticPr fontId="3" type="noConversion"/>
  </si>
  <si>
    <t>학과별 인증 점수 취득 총점</t>
    <phoneticPr fontId="3" type="noConversion"/>
  </si>
  <si>
    <t xml:space="preserve">[표4] </t>
    <phoneticPr fontId="3" type="noConversion"/>
  </si>
  <si>
    <t>정보인증</t>
    <phoneticPr fontId="3" type="noConversion"/>
  </si>
  <si>
    <t>국제인증</t>
    <phoneticPr fontId="3" type="noConversion"/>
  </si>
  <si>
    <t>전공인증</t>
    <phoneticPr fontId="3" type="noConversion"/>
  </si>
  <si>
    <t>컴퓨터정보과</t>
    <phoneticPr fontId="3" type="noConversion"/>
  </si>
  <si>
    <t>유아교육과</t>
    <phoneticPr fontId="3" type="noConversion"/>
  </si>
  <si>
    <t>컴퓨터게임과</t>
    <phoneticPr fontId="3" type="noConversion"/>
  </si>
  <si>
    <t>특수교육과</t>
    <phoneticPr fontId="3" type="noConversion"/>
  </si>
  <si>
    <t>[표1] 2021년</t>
    <phoneticPr fontId="3" type="noConversion"/>
  </si>
  <si>
    <t>[표2] 2022년</t>
    <phoneticPr fontId="3" type="noConversion"/>
  </si>
  <si>
    <t>[표3] 2023년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</si>
</sst>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8"/>
      <name val="맑은 고딕"/>
      <family val="2"/>
      <charset val="129"/>
      <scheme val="minor"/>
    </font>
    <font>
      <sz val="14"/>
      <color theme="1"/>
      <name val="바탕"/>
      <family val="1"/>
      <charset val="129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6" fillId="0" borderId="0" xfId="2" applyFont="1" applyAlignment="1"/>
    <xf numFmtId="0" fontId="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9" fillId="0" borderId="0" xfId="2" applyFont="1">
      <alignment vertical="center"/>
    </xf>
    <xf numFmtId="0" fontId="9" fillId="0" borderId="0" xfId="2" applyFont="1" applyAlignment="1">
      <alignment horizontal="right" vertical="center"/>
    </xf>
    <xf numFmtId="0" fontId="0" fillId="0" borderId="1" xfId="0" applyBorder="1">
      <alignment vertical="center"/>
    </xf>
    <xf numFmtId="0" fontId="6" fillId="0" borderId="0" xfId="2" applyFont="1">
      <alignment vertical="center"/>
    </xf>
    <xf numFmtId="0" fontId="0" fillId="0" borderId="1" xfId="0" applyBorder="1" applyAlignment="1">
      <alignment horizontal="center" vertical="top"/>
    </xf>
    <xf numFmtId="41" fontId="6" fillId="0" borderId="0" xfId="1" applyFont="1" applyBorder="1" applyAlignment="1"/>
    <xf numFmtId="41" fontId="9" fillId="0" borderId="0" xfId="1" applyFont="1">
      <alignment vertical="center"/>
    </xf>
    <xf numFmtId="41" fontId="0" fillId="0" borderId="0" xfId="1" applyFont="1">
      <alignment vertical="center"/>
    </xf>
    <xf numFmtId="41" fontId="8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0" xfId="0" applyAlignment="1">
      <alignment vertical="center"/>
    </xf>
    <xf numFmtId="41" fontId="0" fillId="0" borderId="1" xfId="1" applyNumberFormat="1" applyFont="1" applyBorder="1">
      <alignment vertical="center"/>
    </xf>
  </cellXfs>
  <cellStyles count="4"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dimension ref="A1:F9"/>
  <sheetViews>
    <sheetView tabSelected="1" workbookViewId="0">
      <selection activeCell="B27" sqref="B27"/>
    </sheetView>
  </sheetViews>
  <sheetFormatPr defaultRowHeight="16.5" x14ac:dyDescent="0.3"/>
  <cols>
    <col min="1" max="1" width="11" bestFit="1" customWidth="1"/>
  </cols>
  <sheetData>
    <row r="1" spans="1:6" x14ac:dyDescent="0.3">
      <c r="A1" s="1" t="s">
        <v>0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1"/>
      <c r="F4" s="1"/>
    </row>
    <row r="5" spans="1:6" x14ac:dyDescent="0.3">
      <c r="A5" s="1"/>
      <c r="B5" s="1"/>
      <c r="C5" s="1"/>
      <c r="D5" s="1"/>
      <c r="E5" s="1"/>
      <c r="F5" s="1"/>
    </row>
    <row r="6" spans="1:6" x14ac:dyDescent="0.3">
      <c r="A6" s="1"/>
      <c r="B6" s="1"/>
      <c r="C6" s="1"/>
      <c r="D6" s="1"/>
      <c r="E6" s="1"/>
      <c r="F6" s="1"/>
    </row>
    <row r="7" spans="1:6" x14ac:dyDescent="0.3">
      <c r="A7" s="1"/>
      <c r="B7" s="1"/>
      <c r="C7" s="1"/>
      <c r="D7" s="1"/>
      <c r="E7" s="1"/>
      <c r="F7" s="1"/>
    </row>
    <row r="8" spans="1:6" x14ac:dyDescent="0.3">
      <c r="A8" s="1"/>
      <c r="B8" s="1"/>
      <c r="C8" s="1"/>
      <c r="D8" s="1"/>
      <c r="E8" s="1"/>
      <c r="F8" s="1"/>
    </row>
    <row r="9" spans="1:6" x14ac:dyDescent="0.3">
      <c r="A9" s="1"/>
      <c r="B9" s="1"/>
      <c r="C9" s="1"/>
      <c r="D9" s="1"/>
      <c r="E9" s="1"/>
      <c r="F9" s="1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dimension ref="A1:F9"/>
  <sheetViews>
    <sheetView workbookViewId="0"/>
  </sheetViews>
  <sheetFormatPr defaultRowHeight="16.5" x14ac:dyDescent="0.3"/>
  <cols>
    <col min="1" max="1" width="9.625" customWidth="1"/>
    <col min="3" max="3" width="16.75" bestFit="1" customWidth="1"/>
    <col min="4" max="5" width="5.25" bestFit="1" customWidth="1"/>
  </cols>
  <sheetData>
    <row r="1" spans="1:6" ht="18.75" x14ac:dyDescent="0.3">
      <c r="A1" s="2" t="s">
        <v>1</v>
      </c>
      <c r="B1" s="2"/>
      <c r="C1" s="2"/>
      <c r="D1" s="2"/>
      <c r="E1" s="2"/>
      <c r="F1" s="2"/>
    </row>
    <row r="3" spans="1:6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</row>
    <row r="4" spans="1:6" x14ac:dyDescent="0.3">
      <c r="A4" t="s">
        <v>8</v>
      </c>
      <c r="B4" s="20" t="s">
        <v>9</v>
      </c>
      <c r="C4" s="3" t="s">
        <v>10</v>
      </c>
      <c r="D4" s="3">
        <v>45</v>
      </c>
      <c r="E4">
        <v>2</v>
      </c>
      <c r="F4">
        <v>90</v>
      </c>
    </row>
    <row r="5" spans="1:6" x14ac:dyDescent="0.3">
      <c r="B5" s="20"/>
      <c r="C5" s="3" t="s">
        <v>11</v>
      </c>
      <c r="D5">
        <v>40</v>
      </c>
      <c r="E5">
        <v>2</v>
      </c>
    </row>
    <row r="6" spans="1:6" x14ac:dyDescent="0.3">
      <c r="B6" s="20"/>
      <c r="C6" s="3" t="s">
        <v>12</v>
      </c>
      <c r="D6">
        <v>40</v>
      </c>
      <c r="E6">
        <v>2</v>
      </c>
    </row>
    <row r="7" spans="1:6" x14ac:dyDescent="0.3">
      <c r="A7" t="s">
        <v>13</v>
      </c>
      <c r="B7" t="s">
        <v>14</v>
      </c>
      <c r="C7" s="3" t="s">
        <v>15</v>
      </c>
      <c r="D7">
        <v>3</v>
      </c>
      <c r="E7">
        <v>10</v>
      </c>
      <c r="F7">
        <v>30</v>
      </c>
    </row>
    <row r="8" spans="1:6" x14ac:dyDescent="0.3">
      <c r="B8" t="s">
        <v>16</v>
      </c>
      <c r="C8" s="3" t="s">
        <v>17</v>
      </c>
      <c r="D8">
        <v>10</v>
      </c>
      <c r="E8">
        <v>5</v>
      </c>
    </row>
    <row r="9" spans="1:6" x14ac:dyDescent="0.3">
      <c r="B9" t="s">
        <v>18</v>
      </c>
      <c r="C9" s="3" t="s">
        <v>19</v>
      </c>
      <c r="D9">
        <v>2</v>
      </c>
      <c r="E9">
        <v>35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dimension ref="A1:H18"/>
  <sheetViews>
    <sheetView workbookViewId="0"/>
  </sheetViews>
  <sheetFormatPr defaultRowHeight="16.5" x14ac:dyDescent="0.3"/>
  <cols>
    <col min="1" max="1" width="14.625" customWidth="1"/>
  </cols>
  <sheetData>
    <row r="1" spans="1:8" ht="26.25" x14ac:dyDescent="0.5">
      <c r="A1" s="4" t="s">
        <v>20</v>
      </c>
      <c r="B1" s="4"/>
      <c r="C1" s="4"/>
      <c r="D1" s="4"/>
      <c r="E1" s="4"/>
      <c r="F1" s="4"/>
      <c r="G1" s="4"/>
      <c r="H1" s="4"/>
    </row>
    <row r="2" spans="1:8" x14ac:dyDescent="0.3">
      <c r="A2" s="5"/>
      <c r="B2" s="5"/>
      <c r="C2" s="5"/>
      <c r="D2" s="6"/>
      <c r="E2" s="3"/>
    </row>
    <row r="3" spans="1:8" x14ac:dyDescent="0.3">
      <c r="A3" s="7" t="s">
        <v>21</v>
      </c>
      <c r="B3" s="7" t="s">
        <v>22</v>
      </c>
      <c r="C3" s="7" t="s">
        <v>23</v>
      </c>
      <c r="D3" s="7" t="s">
        <v>24</v>
      </c>
      <c r="E3" s="7" t="s">
        <v>25</v>
      </c>
      <c r="F3" s="7" t="s">
        <v>26</v>
      </c>
      <c r="G3" s="7" t="s">
        <v>27</v>
      </c>
      <c r="H3" s="7" t="s">
        <v>28</v>
      </c>
    </row>
    <row r="4" spans="1:8" x14ac:dyDescent="0.3">
      <c r="A4" s="8">
        <v>201713056</v>
      </c>
      <c r="B4" s="8" t="s">
        <v>29</v>
      </c>
      <c r="C4" s="9">
        <v>25</v>
      </c>
      <c r="D4" s="9">
        <f t="shared" ref="D4:D18" si="0">50+C4/2</f>
        <v>62.5</v>
      </c>
      <c r="E4" s="9">
        <v>15</v>
      </c>
      <c r="F4" s="9">
        <f t="shared" ref="F4:F18" si="1">50+E4/2</f>
        <v>57.5</v>
      </c>
      <c r="G4" s="9">
        <v>18</v>
      </c>
      <c r="H4" s="9">
        <f t="shared" ref="H4:H18" si="2">(D4+F4)*0.4+G4</f>
        <v>66</v>
      </c>
    </row>
    <row r="5" spans="1:8" x14ac:dyDescent="0.3">
      <c r="A5" s="8">
        <v>201809060</v>
      </c>
      <c r="B5" s="8" t="s">
        <v>30</v>
      </c>
      <c r="C5" s="9">
        <v>67.5</v>
      </c>
      <c r="D5" s="9">
        <f t="shared" si="0"/>
        <v>83.75</v>
      </c>
      <c r="E5" s="9">
        <v>10</v>
      </c>
      <c r="F5" s="9">
        <f t="shared" si="1"/>
        <v>55</v>
      </c>
      <c r="G5" s="9">
        <v>16</v>
      </c>
      <c r="H5" s="9">
        <f t="shared" si="2"/>
        <v>71.5</v>
      </c>
    </row>
    <row r="6" spans="1:8" x14ac:dyDescent="0.3">
      <c r="A6" s="8">
        <v>201621010</v>
      </c>
      <c r="B6" s="8" t="s">
        <v>31</v>
      </c>
      <c r="C6" s="9">
        <v>37.5</v>
      </c>
      <c r="D6" s="9">
        <f t="shared" si="0"/>
        <v>68.75</v>
      </c>
      <c r="E6" s="9">
        <v>8</v>
      </c>
      <c r="F6" s="9">
        <f t="shared" si="1"/>
        <v>54</v>
      </c>
      <c r="G6" s="9">
        <v>18</v>
      </c>
      <c r="H6" s="9">
        <f t="shared" si="2"/>
        <v>67.099999999999994</v>
      </c>
    </row>
    <row r="7" spans="1:8" x14ac:dyDescent="0.3">
      <c r="A7" s="8">
        <v>201618036</v>
      </c>
      <c r="B7" s="8" t="s">
        <v>32</v>
      </c>
      <c r="C7" s="9">
        <v>30</v>
      </c>
      <c r="D7" s="9">
        <f t="shared" si="0"/>
        <v>65</v>
      </c>
      <c r="E7" s="9">
        <v>30</v>
      </c>
      <c r="F7" s="9">
        <f t="shared" si="1"/>
        <v>65</v>
      </c>
      <c r="G7" s="9">
        <v>20</v>
      </c>
      <c r="H7" s="9">
        <f t="shared" si="2"/>
        <v>72</v>
      </c>
    </row>
    <row r="8" spans="1:8" x14ac:dyDescent="0.3">
      <c r="A8" s="8">
        <v>201915093</v>
      </c>
      <c r="B8" s="8" t="s">
        <v>33</v>
      </c>
      <c r="C8" s="9">
        <v>87.5</v>
      </c>
      <c r="D8" s="9">
        <f t="shared" si="0"/>
        <v>93.75</v>
      </c>
      <c r="E8" s="9">
        <v>90</v>
      </c>
      <c r="F8" s="9">
        <f t="shared" si="1"/>
        <v>95</v>
      </c>
      <c r="G8" s="9">
        <v>20</v>
      </c>
      <c r="H8" s="9">
        <f t="shared" si="2"/>
        <v>95.5</v>
      </c>
    </row>
    <row r="9" spans="1:8" x14ac:dyDescent="0.3">
      <c r="A9" s="8">
        <v>201714036</v>
      </c>
      <c r="B9" s="8" t="s">
        <v>34</v>
      </c>
      <c r="C9" s="9">
        <v>43.75</v>
      </c>
      <c r="D9" s="9">
        <f t="shared" si="0"/>
        <v>71.875</v>
      </c>
      <c r="E9" s="9">
        <v>5</v>
      </c>
      <c r="F9" s="9">
        <f t="shared" si="1"/>
        <v>52.5</v>
      </c>
      <c r="G9" s="9">
        <v>18</v>
      </c>
      <c r="H9" s="9">
        <f t="shared" si="2"/>
        <v>67.75</v>
      </c>
    </row>
    <row r="10" spans="1:8" x14ac:dyDescent="0.3">
      <c r="A10" s="8">
        <v>201830056</v>
      </c>
      <c r="B10" s="8" t="s">
        <v>35</v>
      </c>
      <c r="C10" s="9">
        <v>42.5</v>
      </c>
      <c r="D10" s="9">
        <f t="shared" si="0"/>
        <v>71.25</v>
      </c>
      <c r="E10" s="9">
        <v>20</v>
      </c>
      <c r="F10" s="9">
        <f t="shared" si="1"/>
        <v>60</v>
      </c>
      <c r="G10" s="9">
        <v>16</v>
      </c>
      <c r="H10" s="9">
        <f t="shared" si="2"/>
        <v>68.5</v>
      </c>
    </row>
    <row r="11" spans="1:8" x14ac:dyDescent="0.3">
      <c r="A11" s="8">
        <v>201809025</v>
      </c>
      <c r="B11" s="8" t="s">
        <v>36</v>
      </c>
      <c r="C11" s="9">
        <v>25</v>
      </c>
      <c r="D11" s="9">
        <f t="shared" si="0"/>
        <v>62.5</v>
      </c>
      <c r="E11" s="9">
        <v>20</v>
      </c>
      <c r="F11" s="9">
        <f t="shared" si="1"/>
        <v>60</v>
      </c>
      <c r="G11" s="9">
        <v>16</v>
      </c>
      <c r="H11" s="9">
        <f t="shared" si="2"/>
        <v>65</v>
      </c>
    </row>
    <row r="12" spans="1:8" x14ac:dyDescent="0.3">
      <c r="A12" s="8">
        <v>201906050</v>
      </c>
      <c r="B12" s="8" t="s">
        <v>37</v>
      </c>
      <c r="C12" s="9">
        <v>87.5</v>
      </c>
      <c r="D12" s="9">
        <f t="shared" si="0"/>
        <v>93.75</v>
      </c>
      <c r="E12" s="9">
        <v>50</v>
      </c>
      <c r="F12" s="9">
        <f t="shared" si="1"/>
        <v>75</v>
      </c>
      <c r="G12" s="9">
        <v>16</v>
      </c>
      <c r="H12" s="9">
        <f t="shared" si="2"/>
        <v>83.5</v>
      </c>
    </row>
    <row r="13" spans="1:8" x14ac:dyDescent="0.3">
      <c r="A13" s="8">
        <v>201618046</v>
      </c>
      <c r="B13" s="8" t="s">
        <v>38</v>
      </c>
      <c r="C13" s="9">
        <v>88</v>
      </c>
      <c r="D13" s="9">
        <f t="shared" si="0"/>
        <v>94</v>
      </c>
      <c r="E13" s="9">
        <v>80</v>
      </c>
      <c r="F13" s="9">
        <f t="shared" si="1"/>
        <v>90</v>
      </c>
      <c r="G13" s="9">
        <v>20</v>
      </c>
      <c r="H13" s="9">
        <f t="shared" si="2"/>
        <v>93.600000000000009</v>
      </c>
    </row>
    <row r="14" spans="1:8" x14ac:dyDescent="0.3">
      <c r="A14" s="8">
        <v>201915058</v>
      </c>
      <c r="B14" s="8" t="s">
        <v>39</v>
      </c>
      <c r="C14" s="9">
        <v>0</v>
      </c>
      <c r="D14" s="9">
        <f t="shared" si="0"/>
        <v>50</v>
      </c>
      <c r="E14" s="9">
        <v>10</v>
      </c>
      <c r="F14" s="9">
        <f t="shared" si="1"/>
        <v>55</v>
      </c>
      <c r="G14" s="9">
        <v>18</v>
      </c>
      <c r="H14" s="9">
        <f t="shared" si="2"/>
        <v>60</v>
      </c>
    </row>
    <row r="15" spans="1:8" x14ac:dyDescent="0.3">
      <c r="A15" s="8">
        <v>201915087</v>
      </c>
      <c r="B15" s="8" t="s">
        <v>40</v>
      </c>
      <c r="C15" s="9">
        <v>50</v>
      </c>
      <c r="D15" s="9">
        <f t="shared" si="0"/>
        <v>75</v>
      </c>
      <c r="E15" s="9">
        <v>40</v>
      </c>
      <c r="F15" s="9">
        <f t="shared" si="1"/>
        <v>70</v>
      </c>
      <c r="G15" s="9">
        <v>20</v>
      </c>
      <c r="H15" s="9">
        <f t="shared" si="2"/>
        <v>78</v>
      </c>
    </row>
    <row r="16" spans="1:8" x14ac:dyDescent="0.3">
      <c r="A16" s="8">
        <v>201702075</v>
      </c>
      <c r="B16" s="8" t="s">
        <v>41</v>
      </c>
      <c r="C16" s="9">
        <v>20</v>
      </c>
      <c r="D16" s="9">
        <f t="shared" si="0"/>
        <v>60</v>
      </c>
      <c r="E16" s="9">
        <v>15</v>
      </c>
      <c r="F16" s="9">
        <f t="shared" si="1"/>
        <v>57.5</v>
      </c>
      <c r="G16" s="9">
        <v>20</v>
      </c>
      <c r="H16" s="9">
        <f t="shared" si="2"/>
        <v>67</v>
      </c>
    </row>
    <row r="17" spans="1:8" x14ac:dyDescent="0.3">
      <c r="A17" s="8">
        <v>201915065</v>
      </c>
      <c r="B17" s="8" t="s">
        <v>42</v>
      </c>
      <c r="C17" s="9">
        <v>50</v>
      </c>
      <c r="D17" s="9">
        <f t="shared" si="0"/>
        <v>75</v>
      </c>
      <c r="E17" s="9">
        <v>40</v>
      </c>
      <c r="F17" s="9">
        <f t="shared" si="1"/>
        <v>70</v>
      </c>
      <c r="G17" s="9">
        <v>20</v>
      </c>
      <c r="H17" s="9">
        <f t="shared" si="2"/>
        <v>78</v>
      </c>
    </row>
    <row r="18" spans="1:8" x14ac:dyDescent="0.3">
      <c r="A18" s="8">
        <v>201820030</v>
      </c>
      <c r="B18" s="8" t="s">
        <v>43</v>
      </c>
      <c r="C18" s="9">
        <v>34.375</v>
      </c>
      <c r="D18" s="9">
        <f t="shared" si="0"/>
        <v>67.1875</v>
      </c>
      <c r="E18" s="9">
        <v>10</v>
      </c>
      <c r="F18" s="9">
        <f t="shared" si="1"/>
        <v>55</v>
      </c>
      <c r="G18" s="9">
        <v>16</v>
      </c>
      <c r="H18" s="9">
        <f t="shared" si="2"/>
        <v>64.875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dimension ref="A1:F13"/>
  <sheetViews>
    <sheetView workbookViewId="0"/>
  </sheetViews>
  <sheetFormatPr defaultRowHeight="16.5" x14ac:dyDescent="0.3"/>
  <cols>
    <col min="1" max="1" width="14.25" customWidth="1"/>
    <col min="2" max="2" width="12.25" customWidth="1"/>
    <col min="3" max="3" width="13.375" bestFit="1" customWidth="1"/>
    <col min="4" max="4" width="12.25" customWidth="1"/>
    <col min="5" max="5" width="13.125" customWidth="1"/>
    <col min="6" max="6" width="13.875" customWidth="1"/>
  </cols>
  <sheetData>
    <row r="1" spans="1:6" ht="26.25" x14ac:dyDescent="0.3">
      <c r="A1" s="13" t="s">
        <v>47</v>
      </c>
      <c r="B1" s="13"/>
      <c r="C1" s="13"/>
      <c r="D1" s="13"/>
      <c r="E1" s="13"/>
      <c r="F1" s="13"/>
    </row>
    <row r="2" spans="1:6" x14ac:dyDescent="0.3">
      <c r="A2" s="5"/>
      <c r="B2" s="5"/>
      <c r="C2" s="5"/>
      <c r="D2" s="5"/>
      <c r="E2" s="5"/>
    </row>
    <row r="3" spans="1:6" x14ac:dyDescent="0.3">
      <c r="A3" s="7" t="s">
        <v>46</v>
      </c>
      <c r="B3" s="7" t="s">
        <v>44</v>
      </c>
      <c r="C3" s="7" t="s">
        <v>8</v>
      </c>
      <c r="D3" s="7" t="s">
        <v>48</v>
      </c>
      <c r="E3" s="7" t="s">
        <v>49</v>
      </c>
      <c r="F3" s="7" t="s">
        <v>28</v>
      </c>
    </row>
    <row r="4" spans="1:6" x14ac:dyDescent="0.3">
      <c r="A4" s="14" t="s">
        <v>50</v>
      </c>
      <c r="B4" s="8" t="s">
        <v>51</v>
      </c>
      <c r="C4" s="9">
        <v>95</v>
      </c>
      <c r="D4" s="9">
        <v>65</v>
      </c>
      <c r="E4" s="9">
        <v>65</v>
      </c>
      <c r="F4" s="9">
        <f t="shared" ref="F4:F12" si="0">SUM(C4:E4)</f>
        <v>225</v>
      </c>
    </row>
    <row r="5" spans="1:6" x14ac:dyDescent="0.3">
      <c r="A5" s="14" t="s">
        <v>52</v>
      </c>
      <c r="B5" s="8" t="s">
        <v>53</v>
      </c>
      <c r="C5" s="9">
        <v>95</v>
      </c>
      <c r="D5" s="9">
        <v>75</v>
      </c>
      <c r="E5" s="9">
        <v>95</v>
      </c>
      <c r="F5" s="9">
        <f t="shared" si="0"/>
        <v>265</v>
      </c>
    </row>
    <row r="6" spans="1:6" x14ac:dyDescent="0.3">
      <c r="A6" s="14" t="s">
        <v>52</v>
      </c>
      <c r="B6" s="8" t="s">
        <v>45</v>
      </c>
      <c r="C6" s="9">
        <v>85</v>
      </c>
      <c r="D6" s="9">
        <v>50</v>
      </c>
      <c r="E6" s="9">
        <v>80</v>
      </c>
      <c r="F6" s="9">
        <f t="shared" si="0"/>
        <v>215</v>
      </c>
    </row>
    <row r="7" spans="1:6" x14ac:dyDescent="0.3">
      <c r="A7" s="14" t="s">
        <v>50</v>
      </c>
      <c r="B7" s="8" t="s">
        <v>54</v>
      </c>
      <c r="C7" s="9">
        <v>100</v>
      </c>
      <c r="D7" s="9">
        <v>90</v>
      </c>
      <c r="E7" s="9">
        <v>80</v>
      </c>
      <c r="F7" s="9">
        <f t="shared" si="0"/>
        <v>270</v>
      </c>
    </row>
    <row r="8" spans="1:6" x14ac:dyDescent="0.3">
      <c r="A8" s="14" t="s">
        <v>52</v>
      </c>
      <c r="B8" s="8" t="s">
        <v>55</v>
      </c>
      <c r="C8" s="9">
        <v>90</v>
      </c>
      <c r="D8" s="9">
        <v>80</v>
      </c>
      <c r="E8" s="9">
        <v>60</v>
      </c>
      <c r="F8" s="9">
        <f t="shared" si="0"/>
        <v>230</v>
      </c>
    </row>
    <row r="9" spans="1:6" x14ac:dyDescent="0.3">
      <c r="A9" s="14" t="s">
        <v>56</v>
      </c>
      <c r="B9" s="8" t="s">
        <v>57</v>
      </c>
      <c r="C9" s="9">
        <v>85</v>
      </c>
      <c r="D9" s="9">
        <v>75</v>
      </c>
      <c r="E9" s="9">
        <v>75</v>
      </c>
      <c r="F9" s="9">
        <f t="shared" si="0"/>
        <v>235</v>
      </c>
    </row>
    <row r="10" spans="1:6" x14ac:dyDescent="0.3">
      <c r="A10" s="14" t="s">
        <v>56</v>
      </c>
      <c r="B10" s="8" t="s">
        <v>58</v>
      </c>
      <c r="C10" s="9">
        <v>85</v>
      </c>
      <c r="D10" s="9">
        <v>85</v>
      </c>
      <c r="E10" s="9">
        <v>75</v>
      </c>
      <c r="F10" s="9">
        <f t="shared" si="0"/>
        <v>245</v>
      </c>
    </row>
    <row r="11" spans="1:6" x14ac:dyDescent="0.3">
      <c r="A11" s="14" t="s">
        <v>56</v>
      </c>
      <c r="B11" s="8" t="s">
        <v>59</v>
      </c>
      <c r="C11" s="9">
        <v>90</v>
      </c>
      <c r="D11" s="9">
        <v>70</v>
      </c>
      <c r="E11" s="9">
        <v>85</v>
      </c>
      <c r="F11" s="9">
        <f t="shared" si="0"/>
        <v>245</v>
      </c>
    </row>
    <row r="12" spans="1:6" x14ac:dyDescent="0.3">
      <c r="A12" s="14" t="s">
        <v>50</v>
      </c>
      <c r="B12" s="8" t="s">
        <v>60</v>
      </c>
      <c r="C12" s="9">
        <v>80</v>
      </c>
      <c r="D12" s="9">
        <v>70</v>
      </c>
      <c r="E12" s="9">
        <v>90</v>
      </c>
      <c r="F12" s="9">
        <f t="shared" si="0"/>
        <v>240</v>
      </c>
    </row>
    <row r="13" spans="1:6" x14ac:dyDescent="0.3">
      <c r="A13" s="5"/>
      <c r="B13" s="5"/>
      <c r="C13" s="5"/>
      <c r="D13" s="5"/>
      <c r="E13" s="5"/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dimension ref="A1:I22"/>
  <sheetViews>
    <sheetView workbookViewId="0"/>
  </sheetViews>
  <sheetFormatPr defaultRowHeight="16.5" x14ac:dyDescent="0.3"/>
  <cols>
    <col min="1" max="1" width="16.125" customWidth="1"/>
    <col min="2" max="4" width="12.625" style="17" customWidth="1"/>
    <col min="5" max="5" width="5.25" customWidth="1"/>
    <col min="6" max="6" width="16.25" customWidth="1"/>
    <col min="7" max="9" width="12.625" style="17" customWidth="1"/>
  </cols>
  <sheetData>
    <row r="1" spans="1:9" ht="26.25" x14ac:dyDescent="0.5">
      <c r="A1" s="4" t="s">
        <v>61</v>
      </c>
      <c r="B1" s="15"/>
      <c r="C1" s="15"/>
      <c r="D1" s="15"/>
      <c r="E1" s="4"/>
      <c r="F1" s="4"/>
      <c r="G1" s="15"/>
      <c r="H1" s="15"/>
      <c r="I1" s="15"/>
    </row>
    <row r="2" spans="1:9" x14ac:dyDescent="0.3">
      <c r="A2" s="10"/>
      <c r="B2" s="16"/>
      <c r="C2" s="16"/>
      <c r="D2" s="16"/>
      <c r="E2" s="10"/>
      <c r="F2" s="11"/>
    </row>
    <row r="3" spans="1:9" x14ac:dyDescent="0.3">
      <c r="A3" t="s">
        <v>70</v>
      </c>
      <c r="F3" t="s">
        <v>62</v>
      </c>
    </row>
    <row r="4" spans="1:9" x14ac:dyDescent="0.3">
      <c r="A4" s="7" t="s">
        <v>46</v>
      </c>
      <c r="B4" s="18" t="s">
        <v>63</v>
      </c>
      <c r="C4" s="18" t="s">
        <v>64</v>
      </c>
      <c r="D4" s="18" t="s">
        <v>65</v>
      </c>
      <c r="F4" s="7" t="s">
        <v>46</v>
      </c>
      <c r="G4" s="18" t="s">
        <v>63</v>
      </c>
      <c r="H4" s="18" t="s">
        <v>64</v>
      </c>
      <c r="I4" s="18" t="s">
        <v>65</v>
      </c>
    </row>
    <row r="5" spans="1:9" x14ac:dyDescent="0.3">
      <c r="A5" s="12" t="s">
        <v>66</v>
      </c>
      <c r="B5" s="19">
        <v>10800</v>
      </c>
      <c r="C5" s="19">
        <v>9000</v>
      </c>
      <c r="D5" s="19">
        <v>9140</v>
      </c>
      <c r="F5" s="12" t="s">
        <v>66</v>
      </c>
      <c r="G5" s="21"/>
      <c r="H5" s="21"/>
      <c r="I5" s="21"/>
    </row>
    <row r="6" spans="1:9" x14ac:dyDescent="0.3">
      <c r="A6" s="12" t="s">
        <v>67</v>
      </c>
      <c r="B6" s="19">
        <v>9200</v>
      </c>
      <c r="C6" s="19">
        <v>13780</v>
      </c>
      <c r="D6" s="19">
        <v>13080</v>
      </c>
      <c r="F6" s="12" t="s">
        <v>68</v>
      </c>
      <c r="G6" s="21"/>
      <c r="H6" s="21"/>
      <c r="I6" s="21"/>
    </row>
    <row r="7" spans="1:9" x14ac:dyDescent="0.3">
      <c r="A7" s="12" t="s">
        <v>68</v>
      </c>
      <c r="B7" s="19">
        <v>9060</v>
      </c>
      <c r="C7" s="19">
        <v>9160</v>
      </c>
      <c r="D7" s="19">
        <v>9140</v>
      </c>
      <c r="F7" s="12" t="s">
        <v>67</v>
      </c>
      <c r="G7" s="21"/>
      <c r="H7" s="21"/>
      <c r="I7" s="21"/>
    </row>
    <row r="8" spans="1:9" x14ac:dyDescent="0.3">
      <c r="A8" s="12" t="s">
        <v>69</v>
      </c>
      <c r="B8" s="19">
        <v>3780</v>
      </c>
      <c r="C8" s="19">
        <v>3680</v>
      </c>
      <c r="D8" s="19">
        <v>2840</v>
      </c>
      <c r="F8" s="12" t="s">
        <v>69</v>
      </c>
      <c r="G8" s="21"/>
      <c r="H8" s="21"/>
      <c r="I8" s="21"/>
    </row>
    <row r="10" spans="1:9" x14ac:dyDescent="0.3">
      <c r="A10" t="s">
        <v>71</v>
      </c>
    </row>
    <row r="11" spans="1:9" x14ac:dyDescent="0.3">
      <c r="A11" s="7" t="s">
        <v>46</v>
      </c>
      <c r="B11" s="18" t="s">
        <v>63</v>
      </c>
      <c r="C11" s="18" t="s">
        <v>64</v>
      </c>
      <c r="D11" s="18" t="s">
        <v>65</v>
      </c>
    </row>
    <row r="12" spans="1:9" x14ac:dyDescent="0.3">
      <c r="A12" s="12" t="s">
        <v>66</v>
      </c>
      <c r="B12" s="19">
        <v>11360</v>
      </c>
      <c r="C12" s="19">
        <v>5780</v>
      </c>
      <c r="D12" s="19">
        <v>17940</v>
      </c>
    </row>
    <row r="13" spans="1:9" x14ac:dyDescent="0.3">
      <c r="A13" s="12" t="s">
        <v>68</v>
      </c>
      <c r="B13" s="19">
        <v>9560</v>
      </c>
      <c r="C13" s="19">
        <v>13960</v>
      </c>
      <c r="D13" s="19">
        <v>11560</v>
      </c>
    </row>
    <row r="14" spans="1:9" x14ac:dyDescent="0.3">
      <c r="A14" s="12" t="s">
        <v>69</v>
      </c>
      <c r="B14" s="19">
        <v>3960</v>
      </c>
      <c r="C14" s="19">
        <v>9140</v>
      </c>
      <c r="D14" s="19">
        <v>19700</v>
      </c>
    </row>
    <row r="15" spans="1:9" x14ac:dyDescent="0.3">
      <c r="A15" s="12" t="s">
        <v>67</v>
      </c>
      <c r="B15" s="19">
        <v>3740</v>
      </c>
      <c r="C15" s="19">
        <v>3300</v>
      </c>
      <c r="D15" s="19">
        <v>2840</v>
      </c>
    </row>
    <row r="17" spans="1:4" x14ac:dyDescent="0.3">
      <c r="A17" t="s">
        <v>72</v>
      </c>
    </row>
    <row r="18" spans="1:4" x14ac:dyDescent="0.3">
      <c r="A18" s="7" t="s">
        <v>46</v>
      </c>
      <c r="B18" s="18" t="s">
        <v>63</v>
      </c>
      <c r="C18" s="18" t="s">
        <v>64</v>
      </c>
      <c r="D18" s="18" t="s">
        <v>65</v>
      </c>
    </row>
    <row r="19" spans="1:4" x14ac:dyDescent="0.3">
      <c r="A19" s="12" t="s">
        <v>66</v>
      </c>
      <c r="B19" s="19">
        <v>9360</v>
      </c>
      <c r="C19" s="19">
        <v>7080</v>
      </c>
      <c r="D19" s="19">
        <v>9120</v>
      </c>
    </row>
    <row r="20" spans="1:4" x14ac:dyDescent="0.3">
      <c r="A20" s="12" t="s">
        <v>69</v>
      </c>
      <c r="B20" s="19">
        <v>5700</v>
      </c>
      <c r="C20" s="19">
        <v>13700</v>
      </c>
      <c r="D20" s="19">
        <v>11560</v>
      </c>
    </row>
    <row r="21" spans="1:4" x14ac:dyDescent="0.3">
      <c r="A21" s="12" t="s">
        <v>68</v>
      </c>
      <c r="B21" s="19">
        <v>6700</v>
      </c>
      <c r="C21" s="19">
        <v>3080</v>
      </c>
      <c r="D21" s="19">
        <v>3300</v>
      </c>
    </row>
    <row r="22" spans="1:4" x14ac:dyDescent="0.3">
      <c r="A22" s="12" t="s">
        <v>67</v>
      </c>
      <c r="B22" s="19">
        <v>9560</v>
      </c>
      <c r="C22" s="19">
        <v>14960</v>
      </c>
      <c r="D22" s="19">
        <v>9680</v>
      </c>
    </row>
  </sheetData>
  <dataConsolidate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기본작업-1</vt:lpstr>
      <vt:lpstr>기본작업-2</vt:lpstr>
      <vt:lpstr>기본작업-3</vt:lpstr>
      <vt:lpstr>분석작업-1</vt:lpstr>
      <vt:lpstr>분석작업-2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user</cp:lastModifiedBy>
  <dcterms:created xsi:type="dcterms:W3CDTF">2023-03-19T01:30:18Z</dcterms:created>
  <dcterms:modified xsi:type="dcterms:W3CDTF">2025-06-01T17:17:43Z</dcterms:modified>
</cp:coreProperties>
</file>