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00_이동화\02 교과\2025 2학년 컴퓨터시스템일반\수행대비\상시기출문제\"/>
    </mc:Choice>
  </mc:AlternateContent>
  <xr:revisionPtr revIDLastSave="0" documentId="8_{B3D12F78-8187-43DC-B786-19E964D52BC7}" xr6:coauthVersionLast="47" xr6:coauthVersionMax="47" xr10:uidLastSave="{00000000-0000-0000-0000-000000000000}"/>
  <bookViews>
    <workbookView xWindow="-120" yWindow="-120" windowWidth="29040" windowHeight="15720" tabRatio="922" xr2:uid="{A78E41F4-ECB2-4960-82D9-491D52B6494B}"/>
  </bookViews>
  <sheets>
    <sheet name="기본작업-1" sheetId="1" r:id="rId1"/>
    <sheet name="기본작업-2" sheetId="2" r:id="rId2"/>
    <sheet name="기본작업-3" sheetId="3" r:id="rId3"/>
    <sheet name="분석작업-1" sheetId="5" r:id="rId4"/>
    <sheet name="분석작업-2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6" l="1"/>
  <c r="H5" i="6" s="1"/>
  <c r="G6" i="6"/>
  <c r="H6" i="6" s="1"/>
  <c r="G7" i="6"/>
  <c r="H7" i="6" s="1"/>
  <c r="G8" i="6"/>
  <c r="H8" i="6" s="1"/>
  <c r="G9" i="6"/>
  <c r="H9" i="6" s="1"/>
  <c r="G4" i="6"/>
  <c r="H4" i="6" s="1"/>
  <c r="E10" i="6"/>
  <c r="F9" i="6"/>
  <c r="F8" i="6"/>
  <c r="F7" i="6"/>
  <c r="F6" i="6"/>
  <c r="F5" i="6"/>
  <c r="F4" i="6"/>
  <c r="F10" i="6" l="1"/>
  <c r="E15" i="5"/>
  <c r="F15" i="5" s="1"/>
  <c r="E14" i="5"/>
  <c r="F14" i="5" s="1"/>
  <c r="E13" i="5"/>
  <c r="F13" i="5" s="1"/>
  <c r="E12" i="5"/>
  <c r="F12" i="5" s="1"/>
  <c r="E11" i="5"/>
  <c r="F11" i="5" s="1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G10" i="6" l="1"/>
  <c r="H10" i="6"/>
</calcChain>
</file>

<file path=xl/sharedStrings.xml><?xml version="1.0" encoding="utf-8"?>
<sst xmlns="http://schemas.openxmlformats.org/spreadsheetml/2006/main" count="116" uniqueCount="89">
  <si>
    <t>건강관리센터 회원명단</t>
    <phoneticPr fontId="3" type="noConversion"/>
  </si>
  <si>
    <t>회원번호,회원명,회원구분,종목,등록일,회비</t>
    <phoneticPr fontId="3" type="noConversion"/>
  </si>
  <si>
    <t>ST-9980,홍민영,정회원,골프,3월 1일,110000</t>
    <phoneticPr fontId="3" type="noConversion"/>
  </si>
  <si>
    <t>QW-1597,박진형,준회원,수영,2월 10일,55000</t>
    <phoneticPr fontId="3" type="noConversion"/>
  </si>
  <si>
    <t>BN-7541,이소라,정회원,테니스,4월 4일,70000</t>
    <phoneticPr fontId="3" type="noConversion"/>
  </si>
  <si>
    <t>QW-5784,이나영,준회원,수영,5월 2일,55000</t>
    <phoneticPr fontId="3" type="noConversion"/>
  </si>
  <si>
    <t>ST-6543,송성례,정회원,골프,7월 5일,115000</t>
    <phoneticPr fontId="3" type="noConversion"/>
  </si>
  <si>
    <t>BN-2589,민상준,준회원,테니스,9월 13일,75000</t>
    <phoneticPr fontId="3" type="noConversion"/>
  </si>
  <si>
    <t>OP-5556,최영찬,정회원,헬스,10월 19일,80000</t>
    <phoneticPr fontId="3" type="noConversion"/>
  </si>
  <si>
    <t>OP-6363,황부영,준회원,헬스,11월 11일,81000</t>
    <phoneticPr fontId="3" type="noConversion"/>
  </si>
  <si>
    <t>전자제품 판매현황</t>
    <phoneticPr fontId="3" type="noConversion"/>
  </si>
  <si>
    <t>판매일자</t>
    <phoneticPr fontId="3" type="noConversion"/>
  </si>
  <si>
    <t>구분</t>
    <phoneticPr fontId="3" type="noConversion"/>
  </si>
  <si>
    <t>판매단가</t>
    <phoneticPr fontId="3" type="noConversion"/>
  </si>
  <si>
    <t>판매량</t>
    <phoneticPr fontId="3" type="noConversion"/>
  </si>
  <si>
    <t>판매금액</t>
    <phoneticPr fontId="3" type="noConversion"/>
  </si>
  <si>
    <t>판매이익</t>
    <phoneticPr fontId="3" type="noConversion"/>
  </si>
  <si>
    <t>6월1일</t>
    <phoneticPr fontId="3" type="noConversion"/>
  </si>
  <si>
    <t>노트북</t>
  </si>
  <si>
    <t>TV</t>
  </si>
  <si>
    <t>컴퓨터</t>
  </si>
  <si>
    <t>6월2일</t>
    <phoneticPr fontId="3" type="noConversion"/>
  </si>
  <si>
    <t>6월3일</t>
    <phoneticPr fontId="3" type="noConversion"/>
  </si>
  <si>
    <t>6월4일</t>
    <phoneticPr fontId="3" type="noConversion"/>
  </si>
  <si>
    <t>노트북</t>
    <phoneticPr fontId="3" type="noConversion"/>
  </si>
  <si>
    <t>TV</t>
    <phoneticPr fontId="3" type="noConversion"/>
  </si>
  <si>
    <t>판매 현황</t>
    <phoneticPr fontId="6" type="noConversion"/>
  </si>
  <si>
    <t>원가</t>
    <phoneticPr fontId="6" type="noConversion"/>
  </si>
  <si>
    <t>판매가</t>
    <phoneticPr fontId="6" type="noConversion"/>
  </si>
  <si>
    <t>판매량</t>
    <phoneticPr fontId="6" type="noConversion"/>
  </si>
  <si>
    <t>판매금액</t>
    <phoneticPr fontId="6" type="noConversion"/>
  </si>
  <si>
    <t>할인금액</t>
    <phoneticPr fontId="6" type="noConversion"/>
  </si>
  <si>
    <t>이익금</t>
    <phoneticPr fontId="6" type="noConversion"/>
  </si>
  <si>
    <t>합계</t>
    <phoneticPr fontId="6" type="noConversion"/>
  </si>
  <si>
    <t>일반</t>
    <phoneticPr fontId="6" type="noConversion"/>
  </si>
  <si>
    <t>골드</t>
    <phoneticPr fontId="6" type="noConversion"/>
  </si>
  <si>
    <t>일반</t>
    <phoneticPr fontId="3" type="noConversion"/>
  </si>
  <si>
    <t>골드</t>
    <phoneticPr fontId="3" type="noConversion"/>
  </si>
  <si>
    <t>제품코드</t>
    <phoneticPr fontId="6" type="noConversion"/>
  </si>
  <si>
    <t>MP-12AD</t>
    <phoneticPr fontId="3" type="noConversion"/>
  </si>
  <si>
    <t>TH-25LD</t>
    <phoneticPr fontId="3" type="noConversion"/>
  </si>
  <si>
    <t>DC-72TG</t>
    <phoneticPr fontId="3" type="noConversion"/>
  </si>
  <si>
    <t>TH-81BE</t>
    <phoneticPr fontId="3" type="noConversion"/>
  </si>
  <si>
    <t>MP-33PA</t>
    <phoneticPr fontId="3" type="noConversion"/>
  </si>
  <si>
    <t>DC-94SN</t>
    <phoneticPr fontId="3" type="noConversion"/>
  </si>
  <si>
    <t>국제통상학</t>
    <phoneticPr fontId="3" type="noConversion"/>
  </si>
  <si>
    <t>융합디자인학</t>
    <phoneticPr fontId="3" type="noConversion"/>
  </si>
  <si>
    <t>핀테크</t>
    <phoneticPr fontId="3" type="noConversion"/>
  </si>
  <si>
    <t>인지과학</t>
    <phoneticPr fontId="3" type="noConversion"/>
  </si>
  <si>
    <t>공공리더십</t>
    <phoneticPr fontId="3" type="noConversion"/>
  </si>
  <si>
    <t>디지털예술학</t>
    <phoneticPr fontId="3" type="noConversion"/>
  </si>
  <si>
    <t>외교통상학</t>
    <phoneticPr fontId="3" type="noConversion"/>
  </si>
  <si>
    <t>지역혁신인재</t>
    <phoneticPr fontId="3" type="noConversion"/>
  </si>
  <si>
    <t>의료융합전공</t>
    <phoneticPr fontId="3" type="noConversion"/>
  </si>
  <si>
    <t>에너지융합전공</t>
    <phoneticPr fontId="3" type="noConversion"/>
  </si>
  <si>
    <t>연계전공 가능 전공</t>
    <phoneticPr fontId="3" type="noConversion"/>
  </si>
  <si>
    <t>과목명</t>
    <phoneticPr fontId="3" type="noConversion"/>
  </si>
  <si>
    <t>미래</t>
    <phoneticPr fontId="3" type="noConversion"/>
  </si>
  <si>
    <t>서울</t>
    <phoneticPr fontId="3" type="noConversion"/>
  </si>
  <si>
    <t>모집인원</t>
    <phoneticPr fontId="3" type="noConversion"/>
  </si>
  <si>
    <t>월</t>
    <phoneticPr fontId="3" type="noConversion"/>
  </si>
  <si>
    <t>화</t>
    <phoneticPr fontId="3" type="noConversion"/>
  </si>
  <si>
    <t>수</t>
    <phoneticPr fontId="3" type="noConversion"/>
  </si>
  <si>
    <t>목</t>
    <phoneticPr fontId="3" type="noConversion"/>
  </si>
  <si>
    <t>과목코드</t>
    <phoneticPr fontId="3" type="noConversion"/>
  </si>
  <si>
    <t>수업요일</t>
    <phoneticPr fontId="3" type="noConversion"/>
  </si>
  <si>
    <t>학점</t>
    <phoneticPr fontId="3" type="noConversion"/>
  </si>
  <si>
    <t>담당교수</t>
    <phoneticPr fontId="3" type="noConversion"/>
  </si>
  <si>
    <t>이철호</t>
    <phoneticPr fontId="3" type="noConversion"/>
  </si>
  <si>
    <t>김갑수</t>
    <phoneticPr fontId="3" type="noConversion"/>
  </si>
  <si>
    <t>오대국</t>
    <phoneticPr fontId="3" type="noConversion"/>
  </si>
  <si>
    <t>송정수</t>
    <phoneticPr fontId="3" type="noConversion"/>
  </si>
  <si>
    <t>강호찬</t>
    <phoneticPr fontId="3" type="noConversion"/>
  </si>
  <si>
    <t>최한국</t>
    <phoneticPr fontId="3" type="noConversion"/>
  </si>
  <si>
    <t>전부강</t>
    <phoneticPr fontId="3" type="noConversion"/>
  </si>
  <si>
    <t>황태호</t>
    <phoneticPr fontId="3" type="noConversion"/>
  </si>
  <si>
    <t>박가수</t>
    <phoneticPr fontId="3" type="noConversion"/>
  </si>
  <si>
    <t>유보순</t>
    <phoneticPr fontId="3" type="noConversion"/>
  </si>
  <si>
    <t>KJ230</t>
    <phoneticPr fontId="3" type="noConversion"/>
  </si>
  <si>
    <t>YD124</t>
    <phoneticPr fontId="3" type="noConversion"/>
  </si>
  <si>
    <t>PT642</t>
    <phoneticPr fontId="3" type="noConversion"/>
  </si>
  <si>
    <t>GH988</t>
    <phoneticPr fontId="3" type="noConversion"/>
  </si>
  <si>
    <t>YH187</t>
    <phoneticPr fontId="3" type="noConversion"/>
  </si>
  <si>
    <t>EG563</t>
    <phoneticPr fontId="3" type="noConversion"/>
  </si>
  <si>
    <t>IG643</t>
    <phoneticPr fontId="3" type="noConversion"/>
  </si>
  <si>
    <t>GG912</t>
    <phoneticPr fontId="3" type="noConversion"/>
  </si>
  <si>
    <t>DG982</t>
    <phoneticPr fontId="3" type="noConversion"/>
  </si>
  <si>
    <t>IT347</t>
    <phoneticPr fontId="3" type="noConversion"/>
  </si>
  <si>
    <t>3~5월 봄꽃 축제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</si>
</sst>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7" fillId="0" borderId="2" xfId="1" applyFont="1" applyBorder="1" applyAlignment="1">
      <alignment vertical="center"/>
    </xf>
    <xf numFmtId="0" fontId="7" fillId="0" borderId="1" xfId="0" applyFont="1" applyBorder="1">
      <alignment vertical="center"/>
    </xf>
    <xf numFmtId="0" fontId="7" fillId="0" borderId="3" xfId="0" applyFont="1" applyBorder="1">
      <alignment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9" fontId="7" fillId="0" borderId="0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 vertical="center"/>
    </xf>
    <xf numFmtId="0" fontId="8" fillId="0" borderId="0" xfId="0" applyFont="1" applyAlignme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tabSelected="1" workbookViewId="0"/>
  </sheetViews>
  <sheetFormatPr defaultRowHeight="16.5" x14ac:dyDescent="0.3"/>
  <cols>
    <col min="1" max="1" width="15.875" bestFit="1" customWidth="1"/>
    <col min="2" max="2" width="13" bestFit="1" customWidth="1"/>
    <col min="3" max="3" width="15.875" bestFit="1" customWidth="1"/>
    <col min="4" max="4" width="13.125" bestFit="1" customWidth="1"/>
  </cols>
  <sheetData>
    <row r="1" spans="1:1" x14ac:dyDescent="0.3">
      <c r="A1" t="s">
        <v>88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G13"/>
  <sheetViews>
    <sheetView workbookViewId="0"/>
  </sheetViews>
  <sheetFormatPr defaultRowHeight="16.5" x14ac:dyDescent="0.3"/>
  <cols>
    <col min="2" max="2" width="15.125" bestFit="1" customWidth="1"/>
  </cols>
  <sheetData>
    <row r="1" spans="1:7" x14ac:dyDescent="0.3">
      <c r="A1" t="s">
        <v>55</v>
      </c>
    </row>
    <row r="3" spans="1:7" x14ac:dyDescent="0.3">
      <c r="A3" t="s">
        <v>64</v>
      </c>
      <c r="B3" t="s">
        <v>56</v>
      </c>
      <c r="C3" t="s">
        <v>12</v>
      </c>
      <c r="D3" t="s">
        <v>59</v>
      </c>
      <c r="E3" t="s">
        <v>65</v>
      </c>
      <c r="F3" t="s">
        <v>66</v>
      </c>
      <c r="G3" t="s">
        <v>67</v>
      </c>
    </row>
    <row r="4" spans="1:7" x14ac:dyDescent="0.3">
      <c r="A4" t="s">
        <v>78</v>
      </c>
      <c r="B4" t="s">
        <v>45</v>
      </c>
      <c r="C4" t="s">
        <v>57</v>
      </c>
      <c r="D4">
        <v>120</v>
      </c>
      <c r="E4" t="s">
        <v>60</v>
      </c>
      <c r="F4">
        <v>3</v>
      </c>
      <c r="G4" t="s">
        <v>68</v>
      </c>
    </row>
    <row r="5" spans="1:7" x14ac:dyDescent="0.3">
      <c r="A5" t="s">
        <v>79</v>
      </c>
      <c r="B5" t="s">
        <v>46</v>
      </c>
      <c r="D5">
        <v>70</v>
      </c>
      <c r="E5" t="s">
        <v>61</v>
      </c>
      <c r="F5">
        <v>3</v>
      </c>
      <c r="G5" t="s">
        <v>69</v>
      </c>
    </row>
    <row r="6" spans="1:7" x14ac:dyDescent="0.3">
      <c r="A6" t="s">
        <v>80</v>
      </c>
      <c r="B6" t="s">
        <v>47</v>
      </c>
      <c r="D6">
        <v>90</v>
      </c>
      <c r="E6" t="s">
        <v>62</v>
      </c>
      <c r="F6">
        <v>2</v>
      </c>
      <c r="G6" t="s">
        <v>70</v>
      </c>
    </row>
    <row r="7" spans="1:7" x14ac:dyDescent="0.3">
      <c r="A7" t="s">
        <v>81</v>
      </c>
      <c r="B7" t="s">
        <v>52</v>
      </c>
      <c r="D7">
        <v>60</v>
      </c>
      <c r="E7" t="s">
        <v>63</v>
      </c>
      <c r="F7">
        <v>2</v>
      </c>
      <c r="G7" t="s">
        <v>71</v>
      </c>
    </row>
    <row r="8" spans="1:7" x14ac:dyDescent="0.3">
      <c r="A8" t="s">
        <v>82</v>
      </c>
      <c r="B8" t="s">
        <v>53</v>
      </c>
      <c r="D8">
        <v>80</v>
      </c>
      <c r="E8" t="s">
        <v>61</v>
      </c>
      <c r="F8">
        <v>3</v>
      </c>
      <c r="G8" t="s">
        <v>72</v>
      </c>
    </row>
    <row r="9" spans="1:7" x14ac:dyDescent="0.3">
      <c r="A9" t="s">
        <v>83</v>
      </c>
      <c r="B9" t="s">
        <v>54</v>
      </c>
      <c r="D9">
        <v>50</v>
      </c>
      <c r="E9" t="s">
        <v>62</v>
      </c>
      <c r="F9">
        <v>3</v>
      </c>
      <c r="G9" t="s">
        <v>73</v>
      </c>
    </row>
    <row r="10" spans="1:7" x14ac:dyDescent="0.3">
      <c r="A10" t="s">
        <v>84</v>
      </c>
      <c r="B10" t="s">
        <v>48</v>
      </c>
      <c r="C10" t="s">
        <v>58</v>
      </c>
      <c r="D10">
        <v>95</v>
      </c>
      <c r="E10" t="s">
        <v>60</v>
      </c>
      <c r="F10">
        <v>2</v>
      </c>
      <c r="G10" t="s">
        <v>74</v>
      </c>
    </row>
    <row r="11" spans="1:7" x14ac:dyDescent="0.3">
      <c r="A11" t="s">
        <v>85</v>
      </c>
      <c r="B11" t="s">
        <v>49</v>
      </c>
      <c r="D11">
        <v>85</v>
      </c>
      <c r="E11" t="s">
        <v>61</v>
      </c>
      <c r="F11">
        <v>2</v>
      </c>
      <c r="G11" t="s">
        <v>75</v>
      </c>
    </row>
    <row r="12" spans="1:7" x14ac:dyDescent="0.3">
      <c r="A12" t="s">
        <v>86</v>
      </c>
      <c r="B12" t="s">
        <v>50</v>
      </c>
      <c r="D12">
        <v>75</v>
      </c>
      <c r="E12" t="s">
        <v>62</v>
      </c>
      <c r="F12">
        <v>2</v>
      </c>
      <c r="G12" t="s">
        <v>76</v>
      </c>
    </row>
    <row r="13" spans="1:7" x14ac:dyDescent="0.3">
      <c r="A13" t="s">
        <v>87</v>
      </c>
      <c r="B13" t="s">
        <v>51</v>
      </c>
      <c r="D13">
        <v>100</v>
      </c>
      <c r="E13" t="s">
        <v>63</v>
      </c>
      <c r="F13">
        <v>3</v>
      </c>
      <c r="G13" t="s">
        <v>77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A11"/>
  <sheetViews>
    <sheetView workbookViewId="0"/>
  </sheetViews>
  <sheetFormatPr defaultRowHeight="16.5" x14ac:dyDescent="0.3"/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F15"/>
  <sheetViews>
    <sheetView workbookViewId="0">
      <selection sqref="A1:F1"/>
    </sheetView>
  </sheetViews>
  <sheetFormatPr defaultRowHeight="16.5" x14ac:dyDescent="0.3"/>
  <cols>
    <col min="3" max="3" width="10.875" bestFit="1" customWidth="1"/>
    <col min="5" max="5" width="11.875" bestFit="1" customWidth="1"/>
    <col min="6" max="6" width="10.875" bestFit="1" customWidth="1"/>
  </cols>
  <sheetData>
    <row r="1" spans="1:6" ht="20.25" x14ac:dyDescent="0.3">
      <c r="A1" s="17" t="s">
        <v>10</v>
      </c>
      <c r="B1" s="17"/>
      <c r="C1" s="17"/>
      <c r="D1" s="17"/>
      <c r="E1" s="17"/>
      <c r="F1" s="17"/>
    </row>
    <row r="3" spans="1:6" x14ac:dyDescent="0.3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 t="s">
        <v>16</v>
      </c>
    </row>
    <row r="4" spans="1:6" x14ac:dyDescent="0.3">
      <c r="A4" s="1" t="s">
        <v>17</v>
      </c>
      <c r="B4" s="1" t="s">
        <v>18</v>
      </c>
      <c r="C4" s="2">
        <v>920000</v>
      </c>
      <c r="D4" s="1">
        <v>18</v>
      </c>
      <c r="E4" s="2">
        <f>C4*D4</f>
        <v>16560000</v>
      </c>
      <c r="F4" s="3">
        <f>E4*30%</f>
        <v>4968000</v>
      </c>
    </row>
    <row r="5" spans="1:6" x14ac:dyDescent="0.3">
      <c r="A5" s="1" t="s">
        <v>17</v>
      </c>
      <c r="B5" s="1" t="s">
        <v>19</v>
      </c>
      <c r="C5" s="2">
        <v>1850000</v>
      </c>
      <c r="D5" s="1">
        <v>13</v>
      </c>
      <c r="E5" s="2">
        <f t="shared" ref="E5:E15" si="0">C5*D5</f>
        <v>24050000</v>
      </c>
      <c r="F5" s="2">
        <f t="shared" ref="F5:F15" si="1">E5*30%</f>
        <v>7215000</v>
      </c>
    </row>
    <row r="6" spans="1:6" x14ac:dyDescent="0.3">
      <c r="A6" s="1" t="s">
        <v>17</v>
      </c>
      <c r="B6" s="1" t="s">
        <v>20</v>
      </c>
      <c r="C6" s="2">
        <v>1220000</v>
      </c>
      <c r="D6" s="1">
        <v>20</v>
      </c>
      <c r="E6" s="2">
        <f t="shared" si="0"/>
        <v>24400000</v>
      </c>
      <c r="F6" s="2">
        <f t="shared" si="1"/>
        <v>7320000</v>
      </c>
    </row>
    <row r="7" spans="1:6" x14ac:dyDescent="0.3">
      <c r="A7" s="1" t="s">
        <v>21</v>
      </c>
      <c r="B7" s="1" t="s">
        <v>18</v>
      </c>
      <c r="C7" s="2">
        <v>1020000</v>
      </c>
      <c r="D7" s="1">
        <v>19</v>
      </c>
      <c r="E7" s="2">
        <f t="shared" si="0"/>
        <v>19380000</v>
      </c>
      <c r="F7" s="2">
        <f t="shared" si="1"/>
        <v>5814000</v>
      </c>
    </row>
    <row r="8" spans="1:6" x14ac:dyDescent="0.3">
      <c r="A8" s="1" t="s">
        <v>21</v>
      </c>
      <c r="B8" s="1" t="s">
        <v>25</v>
      </c>
      <c r="C8" s="2">
        <v>1560000</v>
      </c>
      <c r="D8" s="1">
        <v>9</v>
      </c>
      <c r="E8" s="2">
        <f t="shared" si="0"/>
        <v>14040000</v>
      </c>
      <c r="F8" s="3">
        <f t="shared" si="1"/>
        <v>4212000</v>
      </c>
    </row>
    <row r="9" spans="1:6" x14ac:dyDescent="0.3">
      <c r="A9" s="1" t="s">
        <v>21</v>
      </c>
      <c r="B9" s="1" t="s">
        <v>20</v>
      </c>
      <c r="C9" s="2">
        <v>1180000</v>
      </c>
      <c r="D9" s="1">
        <v>25</v>
      </c>
      <c r="E9" s="2">
        <f t="shared" si="0"/>
        <v>29500000</v>
      </c>
      <c r="F9" s="2">
        <f t="shared" si="1"/>
        <v>8850000</v>
      </c>
    </row>
    <row r="10" spans="1:6" x14ac:dyDescent="0.3">
      <c r="A10" s="1" t="s">
        <v>22</v>
      </c>
      <c r="B10" s="1" t="s">
        <v>18</v>
      </c>
      <c r="C10" s="2">
        <v>1070000</v>
      </c>
      <c r="D10" s="1">
        <v>23</v>
      </c>
      <c r="E10" s="2">
        <f t="shared" si="0"/>
        <v>24610000</v>
      </c>
      <c r="F10" s="2">
        <f t="shared" si="1"/>
        <v>7383000</v>
      </c>
    </row>
    <row r="11" spans="1:6" x14ac:dyDescent="0.3">
      <c r="A11" s="1" t="s">
        <v>22</v>
      </c>
      <c r="B11" s="1" t="s">
        <v>19</v>
      </c>
      <c r="C11" s="2">
        <v>1460000</v>
      </c>
      <c r="D11" s="1">
        <v>11</v>
      </c>
      <c r="E11" s="2">
        <f t="shared" si="0"/>
        <v>16060000</v>
      </c>
      <c r="F11" s="3">
        <f t="shared" si="1"/>
        <v>4818000</v>
      </c>
    </row>
    <row r="12" spans="1:6" x14ac:dyDescent="0.3">
      <c r="A12" s="1" t="s">
        <v>22</v>
      </c>
      <c r="B12" s="1" t="s">
        <v>20</v>
      </c>
      <c r="C12" s="2">
        <v>1420000</v>
      </c>
      <c r="D12" s="1">
        <v>21</v>
      </c>
      <c r="E12" s="2">
        <f t="shared" si="0"/>
        <v>29820000</v>
      </c>
      <c r="F12" s="2">
        <f t="shared" si="1"/>
        <v>8946000</v>
      </c>
    </row>
    <row r="13" spans="1:6" x14ac:dyDescent="0.3">
      <c r="A13" s="1" t="s">
        <v>23</v>
      </c>
      <c r="B13" s="1" t="s">
        <v>19</v>
      </c>
      <c r="C13" s="2">
        <v>1120000</v>
      </c>
      <c r="D13" s="1">
        <v>22</v>
      </c>
      <c r="E13" s="2">
        <f t="shared" si="0"/>
        <v>24640000</v>
      </c>
      <c r="F13" s="2">
        <f t="shared" si="1"/>
        <v>7392000</v>
      </c>
    </row>
    <row r="14" spans="1:6" x14ac:dyDescent="0.3">
      <c r="A14" s="1" t="s">
        <v>23</v>
      </c>
      <c r="B14" s="1" t="s">
        <v>24</v>
      </c>
      <c r="C14" s="2">
        <v>1260000</v>
      </c>
      <c r="D14" s="1">
        <v>7</v>
      </c>
      <c r="E14" s="2">
        <f t="shared" si="0"/>
        <v>8820000</v>
      </c>
      <c r="F14" s="3">
        <f t="shared" si="1"/>
        <v>2646000</v>
      </c>
    </row>
    <row r="15" spans="1:6" x14ac:dyDescent="0.3">
      <c r="A15" s="1" t="s">
        <v>23</v>
      </c>
      <c r="B15" s="1" t="s">
        <v>20</v>
      </c>
      <c r="C15" s="2">
        <v>1250000</v>
      </c>
      <c r="D15" s="1">
        <v>17</v>
      </c>
      <c r="E15" s="2">
        <f t="shared" si="0"/>
        <v>21250000</v>
      </c>
      <c r="F15" s="2">
        <f t="shared" si="1"/>
        <v>6375000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3"/>
  <sheetViews>
    <sheetView workbookViewId="0">
      <selection activeCell="D25" sqref="D25"/>
    </sheetView>
  </sheetViews>
  <sheetFormatPr defaultRowHeight="16.5" x14ac:dyDescent="0.3"/>
  <cols>
    <col min="2" max="2" width="9.375" bestFit="1" customWidth="1"/>
    <col min="4" max="4" width="9.375" bestFit="1" customWidth="1"/>
    <col min="5" max="5" width="9.125" bestFit="1" customWidth="1"/>
    <col min="6" max="6" width="12" bestFit="1" customWidth="1"/>
    <col min="7" max="7" width="11.875" bestFit="1" customWidth="1"/>
    <col min="8" max="8" width="12" bestFit="1" customWidth="1"/>
  </cols>
  <sheetData>
    <row r="1" spans="1:8" ht="26.25" x14ac:dyDescent="0.3">
      <c r="A1" s="18" t="s">
        <v>26</v>
      </c>
      <c r="B1" s="18"/>
      <c r="C1" s="18"/>
      <c r="D1" s="18"/>
      <c r="E1" s="18"/>
      <c r="F1" s="18"/>
      <c r="G1" s="18"/>
      <c r="H1" s="18"/>
    </row>
    <row r="2" spans="1:8" x14ac:dyDescent="0.3">
      <c r="A2" s="4"/>
      <c r="B2" s="4"/>
      <c r="C2" s="4"/>
      <c r="D2" s="4"/>
      <c r="E2" s="4"/>
      <c r="F2" s="4"/>
      <c r="G2" s="4"/>
      <c r="H2" s="4"/>
    </row>
    <row r="3" spans="1:8" x14ac:dyDescent="0.3">
      <c r="A3" s="5" t="s">
        <v>38</v>
      </c>
      <c r="B3" s="5" t="s">
        <v>27</v>
      </c>
      <c r="C3" s="5" t="s">
        <v>12</v>
      </c>
      <c r="D3" s="5" t="s">
        <v>28</v>
      </c>
      <c r="E3" s="5" t="s">
        <v>29</v>
      </c>
      <c r="F3" s="5" t="s">
        <v>30</v>
      </c>
      <c r="G3" s="5" t="s">
        <v>31</v>
      </c>
      <c r="H3" s="5" t="s">
        <v>32</v>
      </c>
    </row>
    <row r="4" spans="1:8" x14ac:dyDescent="0.3">
      <c r="A4" s="1" t="s">
        <v>39</v>
      </c>
      <c r="B4" s="6">
        <v>180000</v>
      </c>
      <c r="C4" s="14" t="s">
        <v>36</v>
      </c>
      <c r="D4" s="6">
        <v>250000</v>
      </c>
      <c r="E4" s="6">
        <v>75</v>
      </c>
      <c r="F4" s="6">
        <f t="shared" ref="F4:F9" si="0">D4*E4</f>
        <v>18750000</v>
      </c>
      <c r="G4" s="6">
        <f>IF(C4="일반",$B$12,$B$13)*F4</f>
        <v>2250000</v>
      </c>
      <c r="H4" s="6">
        <f>F4-B4*E4-G4</f>
        <v>3000000</v>
      </c>
    </row>
    <row r="5" spans="1:8" x14ac:dyDescent="0.3">
      <c r="A5" s="1" t="s">
        <v>40</v>
      </c>
      <c r="B5" s="6">
        <v>270000</v>
      </c>
      <c r="C5" s="14" t="s">
        <v>37</v>
      </c>
      <c r="D5" s="6">
        <v>350000</v>
      </c>
      <c r="E5" s="6">
        <v>76</v>
      </c>
      <c r="F5" s="6">
        <f t="shared" si="0"/>
        <v>26600000</v>
      </c>
      <c r="G5" s="6">
        <f t="shared" ref="G5:G9" si="1">IF(C5="일반",$B$12,$B$13)*F5</f>
        <v>4788000</v>
      </c>
      <c r="H5" s="6">
        <f t="shared" ref="H5:H9" si="2">F5-B5*E5-G5</f>
        <v>1292000</v>
      </c>
    </row>
    <row r="6" spans="1:8" x14ac:dyDescent="0.3">
      <c r="A6" s="1" t="s">
        <v>41</v>
      </c>
      <c r="B6" s="6">
        <v>140000</v>
      </c>
      <c r="C6" s="14" t="s">
        <v>37</v>
      </c>
      <c r="D6" s="6">
        <v>200000</v>
      </c>
      <c r="E6" s="6">
        <v>45</v>
      </c>
      <c r="F6" s="6">
        <f t="shared" si="0"/>
        <v>9000000</v>
      </c>
      <c r="G6" s="6">
        <f t="shared" si="1"/>
        <v>1620000</v>
      </c>
      <c r="H6" s="6">
        <f t="shared" si="2"/>
        <v>1080000</v>
      </c>
    </row>
    <row r="7" spans="1:8" x14ac:dyDescent="0.3">
      <c r="A7" s="1" t="s">
        <v>42</v>
      </c>
      <c r="B7" s="6">
        <v>110000</v>
      </c>
      <c r="C7" s="14" t="s">
        <v>36</v>
      </c>
      <c r="D7" s="6">
        <v>150000</v>
      </c>
      <c r="E7" s="6">
        <v>85</v>
      </c>
      <c r="F7" s="6">
        <f t="shared" si="0"/>
        <v>12750000</v>
      </c>
      <c r="G7" s="6">
        <f t="shared" si="1"/>
        <v>1530000</v>
      </c>
      <c r="H7" s="6">
        <f t="shared" si="2"/>
        <v>1870000</v>
      </c>
    </row>
    <row r="8" spans="1:8" x14ac:dyDescent="0.3">
      <c r="A8" s="1" t="s">
        <v>43</v>
      </c>
      <c r="B8" s="6">
        <v>90000</v>
      </c>
      <c r="C8" s="14" t="s">
        <v>37</v>
      </c>
      <c r="D8" s="6">
        <v>130000</v>
      </c>
      <c r="E8" s="6">
        <v>82</v>
      </c>
      <c r="F8" s="6">
        <f t="shared" si="0"/>
        <v>10660000</v>
      </c>
      <c r="G8" s="6">
        <f t="shared" si="1"/>
        <v>1918800</v>
      </c>
      <c r="H8" s="6">
        <f t="shared" si="2"/>
        <v>1361200</v>
      </c>
    </row>
    <row r="9" spans="1:8" x14ac:dyDescent="0.3">
      <c r="A9" s="1" t="s">
        <v>44</v>
      </c>
      <c r="B9" s="7">
        <v>140000</v>
      </c>
      <c r="C9" s="15" t="s">
        <v>36</v>
      </c>
      <c r="D9" s="6">
        <v>180000</v>
      </c>
      <c r="E9" s="6">
        <v>56</v>
      </c>
      <c r="F9" s="6">
        <f t="shared" si="0"/>
        <v>10080000</v>
      </c>
      <c r="G9" s="6">
        <f t="shared" si="1"/>
        <v>1209600</v>
      </c>
      <c r="H9" s="6">
        <f t="shared" si="2"/>
        <v>1030400</v>
      </c>
    </row>
    <row r="10" spans="1:8" x14ac:dyDescent="0.3">
      <c r="A10" s="5" t="s">
        <v>33</v>
      </c>
      <c r="B10" s="8"/>
      <c r="C10" s="12"/>
      <c r="D10" s="9"/>
      <c r="E10" s="10">
        <f>SUM(E4:E9)</f>
        <v>419</v>
      </c>
      <c r="F10" s="10">
        <f>SUM(F4:F9)</f>
        <v>87840000</v>
      </c>
      <c r="G10" s="10">
        <f>SUM(G4:G9)</f>
        <v>13316400</v>
      </c>
      <c r="H10" s="10">
        <f>SUM(H4:H9)</f>
        <v>9633600</v>
      </c>
    </row>
    <row r="11" spans="1:8" x14ac:dyDescent="0.3">
      <c r="A11" s="16"/>
      <c r="B11" s="16"/>
      <c r="C11" s="16"/>
      <c r="D11" s="4"/>
      <c r="E11" s="4"/>
      <c r="F11" s="4"/>
      <c r="G11" s="4"/>
      <c r="H11" s="4"/>
    </row>
    <row r="12" spans="1:8" x14ac:dyDescent="0.3">
      <c r="A12" s="5" t="s">
        <v>34</v>
      </c>
      <c r="B12" s="11">
        <v>0.12</v>
      </c>
      <c r="C12" s="13"/>
      <c r="D12" s="16"/>
      <c r="E12" s="16"/>
      <c r="F12" s="16"/>
      <c r="G12" s="16"/>
      <c r="H12" s="16"/>
    </row>
    <row r="13" spans="1:8" x14ac:dyDescent="0.3">
      <c r="A13" s="5" t="s">
        <v>35</v>
      </c>
      <c r="B13" s="11">
        <v>0.18</v>
      </c>
      <c r="C13" s="13"/>
      <c r="D13" s="16"/>
      <c r="E13" s="16"/>
      <c r="F13" s="16"/>
      <c r="G13" s="16"/>
      <c r="H13" s="16"/>
    </row>
  </sheetData>
  <mergeCells count="1">
    <mergeCell ref="A1:H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기본작업-1</vt:lpstr>
      <vt:lpstr>기본작업-2</vt:lpstr>
      <vt:lpstr>기본작업-3</vt:lpstr>
      <vt:lpstr>분석작업-1</vt:lpstr>
      <vt:lpstr>분석작업-2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2024-04-08T08:55:14Z</dcterms:created>
  <dcterms:modified xsi:type="dcterms:W3CDTF">2025-06-01T17:02:29Z</dcterms:modified>
</cp:coreProperties>
</file>