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00_이동화\02 교과\2025 2학년 컴퓨터시스템일반\수행대비\상시기출문제\"/>
    </mc:Choice>
  </mc:AlternateContent>
  <xr:revisionPtr revIDLastSave="0" documentId="8_{A4350BC3-89BF-421E-8637-1686DBD49EAC}" xr6:coauthVersionLast="47" xr6:coauthVersionMax="47" xr10:uidLastSave="{00000000-0000-0000-0000-000000000000}"/>
  <bookViews>
    <workbookView xWindow="-120" yWindow="-120" windowWidth="29040" windowHeight="15720" tabRatio="816" activeTab="4" xr2:uid="{A78E41F4-ECB2-4960-82D9-491D52B6494B}"/>
  </bookViews>
  <sheets>
    <sheet name="기본작업-1" sheetId="1" r:id="rId1"/>
    <sheet name="기본작업-2" sheetId="2" r:id="rId2"/>
    <sheet name="기본작업-3" sheetId="3" r:id="rId3"/>
    <sheet name="분석작업-1" sheetId="5" r:id="rId4"/>
    <sheet name="분석작업-2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6" l="1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2" l="1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H14" i="2"/>
  <c r="I14" i="2" s="1"/>
  <c r="H5" i="2"/>
  <c r="I5" i="2" s="1"/>
</calcChain>
</file>

<file path=xl/sharedStrings.xml><?xml version="1.0" encoding="utf-8"?>
<sst xmlns="http://schemas.openxmlformats.org/spreadsheetml/2006/main" count="244" uniqueCount="132">
  <si>
    <t>분기</t>
  </si>
  <si>
    <t>합계</t>
  </si>
  <si>
    <t>1분기</t>
  </si>
  <si>
    <t>2분기</t>
  </si>
  <si>
    <t>3분기</t>
  </si>
  <si>
    <t>4분기</t>
  </si>
  <si>
    <t>고객코드</t>
    <phoneticPr fontId="1" type="noConversion"/>
  </si>
  <si>
    <t>대출일</t>
    <phoneticPr fontId="1" type="noConversion"/>
  </si>
  <si>
    <t>대출종류</t>
    <phoneticPr fontId="1" type="noConversion"/>
  </si>
  <si>
    <t>대출금액</t>
    <phoneticPr fontId="1" type="noConversion"/>
  </si>
  <si>
    <t>기간(월)</t>
    <phoneticPr fontId="1" type="noConversion"/>
  </si>
  <si>
    <t>주택담보대출</t>
    <phoneticPr fontId="1" type="noConversion"/>
  </si>
  <si>
    <t>변동</t>
    <phoneticPr fontId="1" type="noConversion"/>
  </si>
  <si>
    <t>신용대출</t>
    <phoneticPr fontId="1" type="noConversion"/>
  </si>
  <si>
    <t>고정</t>
    <phoneticPr fontId="1" type="noConversion"/>
  </si>
  <si>
    <t>전세대출</t>
    <phoneticPr fontId="1" type="noConversion"/>
  </si>
  <si>
    <t>일반</t>
    <phoneticPr fontId="1" type="noConversion"/>
  </si>
  <si>
    <t>직원별 영업 실적 현황</t>
    <phoneticPr fontId="1" type="noConversion"/>
  </si>
  <si>
    <t>직원명</t>
    <phoneticPr fontId="1" type="noConversion"/>
  </si>
  <si>
    <t>직급</t>
    <phoneticPr fontId="1" type="noConversion"/>
  </si>
  <si>
    <t>영업총액</t>
    <phoneticPr fontId="1" type="noConversion"/>
  </si>
  <si>
    <t>최맹규</t>
    <phoneticPr fontId="1" type="noConversion"/>
  </si>
  <si>
    <t>강범서</t>
    <phoneticPr fontId="1" type="noConversion"/>
  </si>
  <si>
    <t>이서연</t>
    <phoneticPr fontId="1" type="noConversion"/>
  </si>
  <si>
    <t>김숙현</t>
    <phoneticPr fontId="1" type="noConversion"/>
  </si>
  <si>
    <t>박준우</t>
    <phoneticPr fontId="1" type="noConversion"/>
  </si>
  <si>
    <t>김도연</t>
    <phoneticPr fontId="1" type="noConversion"/>
  </si>
  <si>
    <t>황정연</t>
    <phoneticPr fontId="1" type="noConversion"/>
  </si>
  <si>
    <t>임정은</t>
    <phoneticPr fontId="1" type="noConversion"/>
  </si>
  <si>
    <t>방지성</t>
    <phoneticPr fontId="1" type="noConversion"/>
  </si>
  <si>
    <t>전경민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</si>
  <si>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</si>
  <si>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</si>
  <si>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</si>
  <si>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차장</t>
    <phoneticPr fontId="1" type="noConversion"/>
  </si>
  <si>
    <t>부장</t>
    <phoneticPr fontId="1" type="noConversion"/>
  </si>
  <si>
    <t>본사</t>
    <phoneticPr fontId="1" type="noConversion"/>
  </si>
  <si>
    <t>지사</t>
    <phoneticPr fontId="1" type="noConversion"/>
  </si>
  <si>
    <t>근무지</t>
    <phoneticPr fontId="1" type="noConversion"/>
  </si>
  <si>
    <t>우대</t>
    <phoneticPr fontId="1" type="noConversion"/>
  </si>
  <si>
    <t>청년대출</t>
    <phoneticPr fontId="1" type="noConversion"/>
  </si>
  <si>
    <t>신혼부부대출</t>
    <phoneticPr fontId="1" type="noConversion"/>
  </si>
  <si>
    <t>버팀목대출</t>
    <phoneticPr fontId="1" type="noConversion"/>
  </si>
  <si>
    <t>TS11-002</t>
  </si>
  <si>
    <t>TS10-021</t>
  </si>
  <si>
    <t>TS13-007</t>
  </si>
  <si>
    <t>TS08-004</t>
  </si>
  <si>
    <t>TS12-031</t>
  </si>
  <si>
    <t>TS13-003</t>
  </si>
  <si>
    <t>TS65-023</t>
  </si>
  <si>
    <t>TS04-652</t>
  </si>
  <si>
    <t>TS09-655</t>
  </si>
  <si>
    <t>TS06-659</t>
  </si>
  <si>
    <t>TS12-652</t>
  </si>
  <si>
    <t>TS09-065</t>
  </si>
  <si>
    <t>TS12-982</t>
    <phoneticPr fontId="1" type="noConversion"/>
  </si>
  <si>
    <t>금리</t>
    <phoneticPr fontId="1" type="noConversion"/>
  </si>
  <si>
    <t>1사분기 대출 현황</t>
    <phoneticPr fontId="1" type="noConversion"/>
  </si>
  <si>
    <t>급여대장</t>
    <phoneticPr fontId="6" type="noConversion"/>
  </si>
  <si>
    <t>직급</t>
    <phoneticPr fontId="6" type="noConversion"/>
  </si>
  <si>
    <t>지점명</t>
    <phoneticPr fontId="6" type="noConversion"/>
  </si>
  <si>
    <t>이름</t>
    <phoneticPr fontId="6" type="noConversion"/>
  </si>
  <si>
    <t>기본급</t>
    <phoneticPr fontId="6" type="noConversion"/>
  </si>
  <si>
    <t>상여금</t>
    <phoneticPr fontId="6" type="noConversion"/>
  </si>
  <si>
    <t>인센티브</t>
    <phoneticPr fontId="6" type="noConversion"/>
  </si>
  <si>
    <t>총지급액</t>
    <phoneticPr fontId="6" type="noConversion"/>
  </si>
  <si>
    <t>부장</t>
    <phoneticPr fontId="6" type="noConversion"/>
  </si>
  <si>
    <t>광화문</t>
    <phoneticPr fontId="6" type="noConversion"/>
  </si>
  <si>
    <t>최재석</t>
    <phoneticPr fontId="6" type="noConversion"/>
  </si>
  <si>
    <t>과장</t>
    <phoneticPr fontId="6" type="noConversion"/>
  </si>
  <si>
    <t>을지로</t>
    <phoneticPr fontId="6" type="noConversion"/>
  </si>
  <si>
    <t>김현태</t>
    <phoneticPr fontId="6" type="noConversion"/>
  </si>
  <si>
    <t>박상준</t>
    <phoneticPr fontId="6" type="noConversion"/>
  </si>
  <si>
    <t>대리</t>
    <phoneticPr fontId="6" type="noConversion"/>
  </si>
  <si>
    <t>이준성</t>
    <phoneticPr fontId="6" type="noConversion"/>
  </si>
  <si>
    <t>서대문</t>
  </si>
  <si>
    <t>이원섭</t>
    <phoneticPr fontId="6" type="noConversion"/>
  </si>
  <si>
    <t>김세환</t>
    <phoneticPr fontId="6" type="noConversion"/>
  </si>
  <si>
    <t>김형섭</t>
    <phoneticPr fontId="6" type="noConversion"/>
  </si>
  <si>
    <t>유제관</t>
    <phoneticPr fontId="6" type="noConversion"/>
  </si>
  <si>
    <t>유응구</t>
    <phoneticPr fontId="6" type="noConversion"/>
  </si>
  <si>
    <t>한성일</t>
    <phoneticPr fontId="6" type="noConversion"/>
  </si>
  <si>
    <t>최준기</t>
    <phoneticPr fontId="6" type="noConversion"/>
  </si>
  <si>
    <t>박병훈</t>
    <phoneticPr fontId="6" type="noConversion"/>
  </si>
  <si>
    <t>송창호</t>
    <phoneticPr fontId="6" type="noConversion"/>
  </si>
  <si>
    <t>송준호</t>
    <phoneticPr fontId="6" type="noConversion"/>
  </si>
  <si>
    <t>근무부서</t>
    <phoneticPr fontId="1" type="noConversion"/>
  </si>
  <si>
    <t>영업팀</t>
    <phoneticPr fontId="1" type="noConversion"/>
  </si>
  <si>
    <t>관리팀</t>
    <phoneticPr fontId="1" type="noConversion"/>
  </si>
  <si>
    <t>연구팀</t>
    <phoneticPr fontId="1" type="noConversion"/>
  </si>
  <si>
    <t>[표1]</t>
  </si>
  <si>
    <t>사원번호</t>
    <phoneticPr fontId="1" type="noConversion"/>
  </si>
  <si>
    <t>업무부서</t>
    <phoneticPr fontId="1" type="noConversion"/>
  </si>
  <si>
    <t>기본급</t>
    <phoneticPr fontId="1" type="noConversion"/>
  </si>
  <si>
    <t>수당</t>
    <phoneticPr fontId="1" type="noConversion"/>
  </si>
  <si>
    <t>시간외근무</t>
    <phoneticPr fontId="1" type="noConversion"/>
  </si>
  <si>
    <t>식대</t>
    <phoneticPr fontId="1" type="noConversion"/>
  </si>
  <si>
    <t>교통비</t>
    <phoneticPr fontId="1" type="noConversion"/>
  </si>
  <si>
    <t>GH-81</t>
    <phoneticPr fontId="1" type="noConversion"/>
  </si>
  <si>
    <t>충청지사</t>
  </si>
  <si>
    <t>생산부서</t>
  </si>
  <si>
    <t>GC-99</t>
    <phoneticPr fontId="1" type="noConversion"/>
  </si>
  <si>
    <t>인천본사</t>
  </si>
  <si>
    <t>영업부서</t>
    <phoneticPr fontId="1" type="noConversion"/>
  </si>
  <si>
    <t>CH-33</t>
    <phoneticPr fontId="1" type="noConversion"/>
  </si>
  <si>
    <t>제주지사</t>
    <phoneticPr fontId="1" type="noConversion"/>
  </si>
  <si>
    <t>관리부서</t>
  </si>
  <si>
    <t>*</t>
    <phoneticPr fontId="1" type="noConversion"/>
  </si>
  <si>
    <t>AB-52</t>
    <phoneticPr fontId="1" type="noConversion"/>
  </si>
  <si>
    <t>경기지사</t>
  </si>
  <si>
    <t>영업부서</t>
  </si>
  <si>
    <t>GC-15</t>
    <phoneticPr fontId="1" type="noConversion"/>
  </si>
  <si>
    <t>관리부서</t>
    <phoneticPr fontId="1" type="noConversion"/>
  </si>
  <si>
    <t>BA-85</t>
    <phoneticPr fontId="1" type="noConversion"/>
  </si>
  <si>
    <t>경기지사</t>
    <phoneticPr fontId="1" type="noConversion"/>
  </si>
  <si>
    <t>연구팀</t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</si>
  <si>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</si>
  <si>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</si>
  <si>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</si>
  <si>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</si>
  <si>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</si>
  <si>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</si>
  <si>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</si>
  <si>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</si>
  <si>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</si>
  <si>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</si>
  <si>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</si>
  <si>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</si>
  <si>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FK-81</t>
    <phoneticPr fontId="1" type="noConversion"/>
  </si>
  <si>
    <t>FG-80</t>
    <phoneticPr fontId="1" type="noConversion"/>
  </si>
  <si>
    <t>HD-75</t>
    <phoneticPr fontId="1" type="noConversion"/>
  </si>
  <si>
    <t>4월 출시 음악앨범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</si>
</sst>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m&quot;월&quot;\ dd&quot;일&quot;"/>
    <numFmt numFmtId="178" formatCode="#,##0_);[Red]\(#,##0\)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41" fontId="0" fillId="0" borderId="0" xfId="1" applyFont="1">
      <alignment vertical="center"/>
    </xf>
    <xf numFmtId="41" fontId="5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1" xfId="1" applyNumberFormat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178" fontId="0" fillId="0" borderId="3" xfId="1" applyNumberFormat="1" applyFont="1" applyFill="1" applyBorder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7319-C509-41EC-9A2E-10746DBE4247}">
  <dimension ref="A1"/>
  <sheetViews>
    <sheetView workbookViewId="0"/>
  </sheetViews>
  <sheetFormatPr defaultRowHeight="16.5" x14ac:dyDescent="0.3"/>
  <cols>
    <col min="1" max="1" width="26.25" bestFit="1" customWidth="1"/>
    <col min="2" max="2" width="11.125" bestFit="1" customWidth="1"/>
    <col min="3" max="3" width="18.375" bestFit="1" customWidth="1"/>
    <col min="4" max="4" width="18.625" bestFit="1" customWidth="1"/>
    <col min="5" max="5" width="14.625" bestFit="1" customWidth="1"/>
    <col min="6" max="6" width="24.875" bestFit="1" customWidth="1"/>
  </cols>
  <sheetData>
    <row r="1" spans="1:1" x14ac:dyDescent="0.3">
      <c r="A1" t="s">
        <v>131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F3215-A8F8-4BB8-AF83-6D7AF49967FC}">
  <dimension ref="A1:I14"/>
  <sheetViews>
    <sheetView workbookViewId="0"/>
  </sheetViews>
  <sheetFormatPr defaultRowHeight="16.5" x14ac:dyDescent="0.3"/>
  <cols>
    <col min="9" max="9" width="9.5" bestFit="1" customWidth="1"/>
  </cols>
  <sheetData>
    <row r="1" spans="1:9" x14ac:dyDescent="0.3">
      <c r="A1" t="s">
        <v>17</v>
      </c>
    </row>
    <row r="3" spans="1:9" x14ac:dyDescent="0.3">
      <c r="A3" t="s">
        <v>18</v>
      </c>
      <c r="B3" t="s">
        <v>38</v>
      </c>
      <c r="C3" t="s">
        <v>19</v>
      </c>
      <c r="D3" t="s">
        <v>0</v>
      </c>
      <c r="H3" t="s">
        <v>1</v>
      </c>
      <c r="I3" t="s">
        <v>20</v>
      </c>
    </row>
    <row r="4" spans="1:9" x14ac:dyDescent="0.3">
      <c r="D4" s="1" t="s">
        <v>2</v>
      </c>
      <c r="E4" s="1" t="s">
        <v>3</v>
      </c>
      <c r="F4" s="1" t="s">
        <v>4</v>
      </c>
      <c r="G4" s="1" t="s">
        <v>5</v>
      </c>
    </row>
    <row r="5" spans="1:9" x14ac:dyDescent="0.3">
      <c r="A5" s="1" t="s">
        <v>21</v>
      </c>
      <c r="B5" s="1" t="s">
        <v>37</v>
      </c>
      <c r="C5" s="1" t="s">
        <v>31</v>
      </c>
      <c r="D5" s="1">
        <v>118</v>
      </c>
      <c r="E5" s="1">
        <v>111</v>
      </c>
      <c r="F5" s="1">
        <v>125</v>
      </c>
      <c r="G5" s="1">
        <v>286</v>
      </c>
      <c r="H5" s="1">
        <f>SUM(D5:G5)</f>
        <v>640</v>
      </c>
      <c r="I5">
        <f>H5*21000</f>
        <v>13440000</v>
      </c>
    </row>
    <row r="6" spans="1:9" x14ac:dyDescent="0.3">
      <c r="A6" s="1" t="s">
        <v>22</v>
      </c>
      <c r="B6" s="1" t="s">
        <v>37</v>
      </c>
      <c r="C6" s="1" t="s">
        <v>31</v>
      </c>
      <c r="D6" s="1">
        <v>198</v>
      </c>
      <c r="E6" s="1">
        <v>119</v>
      </c>
      <c r="F6" s="1">
        <v>162</v>
      </c>
      <c r="G6" s="1">
        <v>259</v>
      </c>
      <c r="H6" s="1">
        <f t="shared" ref="H6:H14" si="0">SUM(D6:G6)</f>
        <v>738</v>
      </c>
      <c r="I6">
        <f t="shared" ref="I6:I14" si="1">H6*21000</f>
        <v>15498000</v>
      </c>
    </row>
    <row r="7" spans="1:9" x14ac:dyDescent="0.3">
      <c r="A7" s="1" t="s">
        <v>23</v>
      </c>
      <c r="B7" s="1" t="s">
        <v>36</v>
      </c>
      <c r="C7" s="1" t="s">
        <v>32</v>
      </c>
      <c r="D7" s="1">
        <v>269</v>
      </c>
      <c r="E7" s="1">
        <v>156</v>
      </c>
      <c r="F7" s="1">
        <v>261</v>
      </c>
      <c r="G7" s="1">
        <v>105</v>
      </c>
      <c r="H7" s="1">
        <f t="shared" si="0"/>
        <v>791</v>
      </c>
      <c r="I7">
        <f t="shared" si="1"/>
        <v>16611000</v>
      </c>
    </row>
    <row r="8" spans="1:9" x14ac:dyDescent="0.3">
      <c r="A8" s="1" t="s">
        <v>24</v>
      </c>
      <c r="B8" s="1" t="s">
        <v>37</v>
      </c>
      <c r="C8" s="1" t="s">
        <v>32</v>
      </c>
      <c r="D8" s="1">
        <v>145</v>
      </c>
      <c r="E8" s="1">
        <v>285</v>
      </c>
      <c r="F8" s="1">
        <v>119</v>
      </c>
      <c r="G8" s="1">
        <v>109</v>
      </c>
      <c r="H8" s="1">
        <f t="shared" si="0"/>
        <v>658</v>
      </c>
      <c r="I8">
        <f t="shared" si="1"/>
        <v>13818000</v>
      </c>
    </row>
    <row r="9" spans="1:9" x14ac:dyDescent="0.3">
      <c r="A9" s="1" t="s">
        <v>25</v>
      </c>
      <c r="B9" s="1" t="s">
        <v>36</v>
      </c>
      <c r="C9" s="1" t="s">
        <v>33</v>
      </c>
      <c r="D9" s="1">
        <v>119</v>
      </c>
      <c r="E9" s="1">
        <v>146</v>
      </c>
      <c r="F9" s="1">
        <v>279</v>
      </c>
      <c r="G9" s="1">
        <v>266</v>
      </c>
      <c r="H9" s="1">
        <f t="shared" si="0"/>
        <v>810</v>
      </c>
      <c r="I9">
        <f t="shared" si="1"/>
        <v>17010000</v>
      </c>
    </row>
    <row r="10" spans="1:9" x14ac:dyDescent="0.3">
      <c r="A10" s="1" t="s">
        <v>26</v>
      </c>
      <c r="B10" s="1" t="s">
        <v>37</v>
      </c>
      <c r="C10" s="1" t="s">
        <v>33</v>
      </c>
      <c r="D10" s="1">
        <v>271</v>
      </c>
      <c r="E10" s="1">
        <v>285</v>
      </c>
      <c r="F10" s="1">
        <v>102</v>
      </c>
      <c r="G10" s="1">
        <v>282</v>
      </c>
      <c r="H10" s="1">
        <f t="shared" si="0"/>
        <v>940</v>
      </c>
      <c r="I10">
        <f t="shared" si="1"/>
        <v>19740000</v>
      </c>
    </row>
    <row r="11" spans="1:9" x14ac:dyDescent="0.3">
      <c r="A11" s="1" t="s">
        <v>27</v>
      </c>
      <c r="B11" s="1" t="s">
        <v>36</v>
      </c>
      <c r="C11" s="1" t="s">
        <v>34</v>
      </c>
      <c r="D11" s="1">
        <v>276</v>
      </c>
      <c r="E11" s="1">
        <v>236</v>
      </c>
      <c r="F11" s="1">
        <v>122</v>
      </c>
      <c r="G11" s="1">
        <v>281</v>
      </c>
      <c r="H11" s="1">
        <f t="shared" si="0"/>
        <v>915</v>
      </c>
      <c r="I11">
        <f t="shared" si="1"/>
        <v>19215000</v>
      </c>
    </row>
    <row r="12" spans="1:9" x14ac:dyDescent="0.3">
      <c r="A12" s="1" t="s">
        <v>28</v>
      </c>
      <c r="B12" s="1" t="s">
        <v>37</v>
      </c>
      <c r="C12" s="1" t="s">
        <v>34</v>
      </c>
      <c r="D12" s="1">
        <v>222</v>
      </c>
      <c r="E12" s="1">
        <v>121</v>
      </c>
      <c r="F12" s="1">
        <v>149</v>
      </c>
      <c r="G12" s="1">
        <v>245</v>
      </c>
      <c r="H12" s="1">
        <f t="shared" si="0"/>
        <v>737</v>
      </c>
      <c r="I12">
        <f t="shared" si="1"/>
        <v>15477000</v>
      </c>
    </row>
    <row r="13" spans="1:9" x14ac:dyDescent="0.3">
      <c r="A13" s="1" t="s">
        <v>29</v>
      </c>
      <c r="B13" s="1" t="s">
        <v>36</v>
      </c>
      <c r="C13" s="1" t="s">
        <v>35</v>
      </c>
      <c r="D13" s="1">
        <v>341</v>
      </c>
      <c r="E13" s="1">
        <v>219</v>
      </c>
      <c r="F13" s="1">
        <v>282</v>
      </c>
      <c r="G13" s="1">
        <v>145</v>
      </c>
      <c r="H13" s="1">
        <f t="shared" si="0"/>
        <v>987</v>
      </c>
      <c r="I13">
        <f t="shared" si="1"/>
        <v>20727000</v>
      </c>
    </row>
    <row r="14" spans="1:9" x14ac:dyDescent="0.3">
      <c r="A14" s="1" t="s">
        <v>30</v>
      </c>
      <c r="B14" s="1" t="s">
        <v>37</v>
      </c>
      <c r="C14" s="1" t="s">
        <v>35</v>
      </c>
      <c r="D14" s="1">
        <v>285</v>
      </c>
      <c r="E14" s="1">
        <v>271</v>
      </c>
      <c r="F14" s="1">
        <v>182</v>
      </c>
      <c r="G14" s="1">
        <v>169</v>
      </c>
      <c r="H14" s="1">
        <f t="shared" si="0"/>
        <v>907</v>
      </c>
      <c r="I14">
        <f t="shared" si="1"/>
        <v>19047000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D4730-2D24-445A-8690-78C6F89E3F3D}">
  <dimension ref="A1:G16"/>
  <sheetViews>
    <sheetView workbookViewId="0">
      <selection sqref="A1:G1"/>
    </sheetView>
  </sheetViews>
  <sheetFormatPr defaultRowHeight="16.5" x14ac:dyDescent="0.3"/>
  <cols>
    <col min="1" max="1" width="10.5" customWidth="1"/>
    <col min="2" max="2" width="13.125" customWidth="1"/>
    <col min="3" max="3" width="14.375" customWidth="1"/>
    <col min="4" max="4" width="13" bestFit="1" customWidth="1"/>
    <col min="5" max="5" width="13.375" customWidth="1"/>
    <col min="6" max="6" width="12.625" customWidth="1"/>
  </cols>
  <sheetData>
    <row r="1" spans="1:7" ht="20.25" x14ac:dyDescent="0.3">
      <c r="A1" s="16" t="s">
        <v>57</v>
      </c>
      <c r="B1" s="16"/>
      <c r="C1" s="16"/>
      <c r="D1" s="16"/>
      <c r="E1" s="16"/>
      <c r="F1" s="16"/>
      <c r="G1" s="16"/>
    </row>
    <row r="3" spans="1:7" x14ac:dyDescent="0.3">
      <c r="A3" s="3" t="s">
        <v>6</v>
      </c>
      <c r="B3" s="3" t="s">
        <v>7</v>
      </c>
      <c r="C3" s="3" t="s">
        <v>8</v>
      </c>
      <c r="D3" s="3" t="s">
        <v>56</v>
      </c>
      <c r="E3" s="3" t="s">
        <v>39</v>
      </c>
      <c r="F3" s="3" t="s">
        <v>9</v>
      </c>
      <c r="G3" s="3" t="s">
        <v>10</v>
      </c>
    </row>
    <row r="4" spans="1:7" x14ac:dyDescent="0.3">
      <c r="A4" s="3" t="s">
        <v>49</v>
      </c>
      <c r="B4" s="7">
        <v>45298</v>
      </c>
      <c r="C4" s="3" t="s">
        <v>40</v>
      </c>
      <c r="D4" s="3" t="s">
        <v>12</v>
      </c>
      <c r="E4" s="3" t="s">
        <v>39</v>
      </c>
      <c r="F4" s="2">
        <v>22500000</v>
      </c>
      <c r="G4" s="3">
        <v>36</v>
      </c>
    </row>
    <row r="5" spans="1:7" x14ac:dyDescent="0.3">
      <c r="A5" s="3" t="s">
        <v>50</v>
      </c>
      <c r="B5" s="7">
        <v>45316</v>
      </c>
      <c r="C5" s="3" t="s">
        <v>42</v>
      </c>
      <c r="D5" s="3" t="s">
        <v>14</v>
      </c>
      <c r="E5" s="3" t="s">
        <v>16</v>
      </c>
      <c r="F5" s="2">
        <v>15000000</v>
      </c>
      <c r="G5" s="3">
        <v>48</v>
      </c>
    </row>
    <row r="6" spans="1:7" x14ac:dyDescent="0.3">
      <c r="A6" s="3" t="s">
        <v>43</v>
      </c>
      <c r="B6" s="7">
        <v>45322</v>
      </c>
      <c r="C6" s="3" t="s">
        <v>41</v>
      </c>
      <c r="D6" s="3" t="s">
        <v>12</v>
      </c>
      <c r="E6" s="3" t="s">
        <v>39</v>
      </c>
      <c r="F6" s="2">
        <v>12000000</v>
      </c>
      <c r="G6" s="3">
        <v>50</v>
      </c>
    </row>
    <row r="7" spans="1:7" x14ac:dyDescent="0.3">
      <c r="A7" s="3" t="s">
        <v>44</v>
      </c>
      <c r="B7" s="7">
        <v>45324</v>
      </c>
      <c r="C7" s="3" t="s">
        <v>15</v>
      </c>
      <c r="D7" s="3" t="s">
        <v>14</v>
      </c>
      <c r="E7" s="3" t="s">
        <v>39</v>
      </c>
      <c r="F7" s="2">
        <v>9750000</v>
      </c>
      <c r="G7" s="3">
        <v>72</v>
      </c>
    </row>
    <row r="8" spans="1:7" x14ac:dyDescent="0.3">
      <c r="A8" s="3" t="s">
        <v>51</v>
      </c>
      <c r="B8" s="7">
        <v>45327</v>
      </c>
      <c r="C8" s="3" t="s">
        <v>11</v>
      </c>
      <c r="D8" s="3" t="s">
        <v>12</v>
      </c>
      <c r="E8" s="3" t="s">
        <v>16</v>
      </c>
      <c r="F8" s="2">
        <v>36000000</v>
      </c>
      <c r="G8" s="3">
        <v>80</v>
      </c>
    </row>
    <row r="9" spans="1:7" x14ac:dyDescent="0.3">
      <c r="A9" s="3" t="s">
        <v>45</v>
      </c>
      <c r="B9" s="7">
        <v>45330</v>
      </c>
      <c r="C9" s="3" t="s">
        <v>40</v>
      </c>
      <c r="D9" s="3" t="s">
        <v>14</v>
      </c>
      <c r="E9" s="3" t="s">
        <v>39</v>
      </c>
      <c r="F9" s="2">
        <v>14250000</v>
      </c>
      <c r="G9" s="3">
        <v>82</v>
      </c>
    </row>
    <row r="10" spans="1:7" x14ac:dyDescent="0.3">
      <c r="A10" s="3" t="s">
        <v>52</v>
      </c>
      <c r="B10" s="7">
        <v>45344</v>
      </c>
      <c r="C10" s="3" t="s">
        <v>41</v>
      </c>
      <c r="D10" s="3" t="s">
        <v>14</v>
      </c>
      <c r="E10" s="3" t="s">
        <v>39</v>
      </c>
      <c r="F10" s="2">
        <v>30000000</v>
      </c>
      <c r="G10" s="3">
        <v>92</v>
      </c>
    </row>
    <row r="11" spans="1:7" x14ac:dyDescent="0.3">
      <c r="A11" s="3" t="s">
        <v>46</v>
      </c>
      <c r="B11" s="7">
        <v>45349</v>
      </c>
      <c r="C11" s="3" t="s">
        <v>13</v>
      </c>
      <c r="D11" s="3" t="s">
        <v>12</v>
      </c>
      <c r="E11" s="3" t="s">
        <v>16</v>
      </c>
      <c r="F11" s="2">
        <v>27000000</v>
      </c>
      <c r="G11" s="3">
        <v>100</v>
      </c>
    </row>
    <row r="12" spans="1:7" x14ac:dyDescent="0.3">
      <c r="A12" s="3" t="s">
        <v>47</v>
      </c>
      <c r="B12" s="7">
        <v>45353</v>
      </c>
      <c r="C12" s="3" t="s">
        <v>15</v>
      </c>
      <c r="D12" s="3" t="s">
        <v>12</v>
      </c>
      <c r="E12" s="3" t="s">
        <v>39</v>
      </c>
      <c r="F12" s="2">
        <v>11700000</v>
      </c>
      <c r="G12" s="3">
        <v>64</v>
      </c>
    </row>
    <row r="13" spans="1:7" x14ac:dyDescent="0.3">
      <c r="A13" s="3" t="s">
        <v>53</v>
      </c>
      <c r="B13" s="7">
        <v>45358</v>
      </c>
      <c r="C13" s="3" t="s">
        <v>11</v>
      </c>
      <c r="D13" s="3" t="s">
        <v>12</v>
      </c>
      <c r="E13" s="3" t="s">
        <v>16</v>
      </c>
      <c r="F13" s="2">
        <v>18000000</v>
      </c>
      <c r="G13" s="3">
        <v>48</v>
      </c>
    </row>
    <row r="14" spans="1:7" x14ac:dyDescent="0.3">
      <c r="A14" s="3" t="s">
        <v>48</v>
      </c>
      <c r="B14" s="7">
        <v>45367</v>
      </c>
      <c r="C14" s="3" t="s">
        <v>40</v>
      </c>
      <c r="D14" s="3" t="s">
        <v>14</v>
      </c>
      <c r="E14" s="3" t="s">
        <v>16</v>
      </c>
      <c r="F14" s="2">
        <v>13500000</v>
      </c>
      <c r="G14" s="3">
        <v>72</v>
      </c>
    </row>
    <row r="15" spans="1:7" x14ac:dyDescent="0.3">
      <c r="A15" s="3" t="s">
        <v>54</v>
      </c>
      <c r="B15" s="7">
        <v>45372</v>
      </c>
      <c r="C15" s="3" t="s">
        <v>42</v>
      </c>
      <c r="D15" s="3" t="s">
        <v>12</v>
      </c>
      <c r="E15" s="3" t="s">
        <v>39</v>
      </c>
      <c r="F15" s="2">
        <v>12300000</v>
      </c>
      <c r="G15" s="3">
        <v>75</v>
      </c>
    </row>
    <row r="16" spans="1:7" x14ac:dyDescent="0.3">
      <c r="A16" s="3" t="s">
        <v>55</v>
      </c>
      <c r="B16" s="7">
        <v>45378</v>
      </c>
      <c r="C16" s="5" t="s">
        <v>11</v>
      </c>
      <c r="D16" s="3" t="s">
        <v>14</v>
      </c>
      <c r="E16" s="5" t="s">
        <v>16</v>
      </c>
      <c r="F16" s="6">
        <v>5000000</v>
      </c>
      <c r="G16" s="5">
        <v>65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9C8A-6FFE-40D1-A791-67FC3FC2B3BA}">
  <dimension ref="A1:H23"/>
  <sheetViews>
    <sheetView workbookViewId="0"/>
  </sheetViews>
  <sheetFormatPr defaultRowHeight="16.5" x14ac:dyDescent="0.3"/>
  <cols>
    <col min="4" max="4" width="9.875" bestFit="1" customWidth="1"/>
    <col min="5" max="5" width="8.5" bestFit="1" customWidth="1"/>
    <col min="6" max="6" width="11" bestFit="1" customWidth="1"/>
    <col min="7" max="8" width="8.5" bestFit="1" customWidth="1"/>
  </cols>
  <sheetData>
    <row r="1" spans="1:8" x14ac:dyDescent="0.3">
      <c r="A1" t="s">
        <v>90</v>
      </c>
      <c r="G1" s="12"/>
    </row>
    <row r="2" spans="1:8" x14ac:dyDescent="0.3">
      <c r="A2" s="4" t="s">
        <v>91</v>
      </c>
      <c r="B2" s="4" t="s">
        <v>38</v>
      </c>
      <c r="C2" s="4" t="s">
        <v>92</v>
      </c>
      <c r="D2" s="4" t="s">
        <v>93</v>
      </c>
      <c r="E2" s="4" t="s">
        <v>94</v>
      </c>
      <c r="F2" s="4" t="s">
        <v>95</v>
      </c>
      <c r="G2" s="4" t="s">
        <v>96</v>
      </c>
      <c r="H2" s="4" t="s">
        <v>97</v>
      </c>
    </row>
    <row r="3" spans="1:8" x14ac:dyDescent="0.3">
      <c r="A3" s="4" t="s">
        <v>98</v>
      </c>
      <c r="B3" s="4" t="s">
        <v>99</v>
      </c>
      <c r="C3" s="4" t="s">
        <v>100</v>
      </c>
      <c r="D3" s="13">
        <v>2300000</v>
      </c>
      <c r="E3" s="13">
        <v>228000</v>
      </c>
      <c r="F3" s="14">
        <v>2</v>
      </c>
      <c r="G3" s="13">
        <v>90000</v>
      </c>
      <c r="H3" s="13">
        <v>100000</v>
      </c>
    </row>
    <row r="4" spans="1:8" x14ac:dyDescent="0.3">
      <c r="A4" s="4" t="s">
        <v>101</v>
      </c>
      <c r="B4" s="4" t="s">
        <v>102</v>
      </c>
      <c r="C4" s="4" t="s">
        <v>103</v>
      </c>
      <c r="D4" s="13">
        <v>3300000</v>
      </c>
      <c r="E4" s="13">
        <v>460000</v>
      </c>
      <c r="F4" s="14">
        <v>3</v>
      </c>
      <c r="G4" s="13">
        <v>120000</v>
      </c>
      <c r="H4" s="13">
        <v>120000</v>
      </c>
    </row>
    <row r="5" spans="1:8" x14ac:dyDescent="0.3">
      <c r="A5" s="4" t="s">
        <v>104</v>
      </c>
      <c r="B5" s="4" t="s">
        <v>105</v>
      </c>
      <c r="C5" s="4" t="s">
        <v>106</v>
      </c>
      <c r="D5" s="13">
        <v>3700000</v>
      </c>
      <c r="E5" s="13">
        <v>280000</v>
      </c>
      <c r="F5" s="14" t="s">
        <v>107</v>
      </c>
      <c r="G5" s="13">
        <v>90000</v>
      </c>
      <c r="H5" s="13">
        <v>60000</v>
      </c>
    </row>
    <row r="6" spans="1:8" x14ac:dyDescent="0.3">
      <c r="A6" s="4" t="s">
        <v>108</v>
      </c>
      <c r="B6" s="4" t="s">
        <v>109</v>
      </c>
      <c r="C6" s="4" t="s">
        <v>110</v>
      </c>
      <c r="D6" s="13">
        <v>2300000</v>
      </c>
      <c r="E6" s="13">
        <v>240000</v>
      </c>
      <c r="F6" s="14">
        <v>4</v>
      </c>
      <c r="G6" s="13">
        <v>150000</v>
      </c>
      <c r="H6" s="13">
        <v>60000</v>
      </c>
    </row>
    <row r="7" spans="1:8" x14ac:dyDescent="0.3">
      <c r="A7" s="4" t="s">
        <v>111</v>
      </c>
      <c r="B7" s="4" t="s">
        <v>102</v>
      </c>
      <c r="C7" s="4" t="s">
        <v>112</v>
      </c>
      <c r="D7" s="13">
        <v>2900000</v>
      </c>
      <c r="E7" s="13">
        <v>280000</v>
      </c>
      <c r="F7" s="14">
        <v>2</v>
      </c>
      <c r="G7" s="13">
        <v>60000</v>
      </c>
      <c r="H7" s="13">
        <v>130000</v>
      </c>
    </row>
    <row r="8" spans="1:8" x14ac:dyDescent="0.3">
      <c r="A8" s="4" t="s">
        <v>113</v>
      </c>
      <c r="B8" s="4" t="s">
        <v>114</v>
      </c>
      <c r="C8" s="4" t="s">
        <v>115</v>
      </c>
      <c r="D8" s="13">
        <v>3600000</v>
      </c>
      <c r="E8" s="13">
        <v>200000</v>
      </c>
      <c r="F8" s="14" t="s">
        <v>107</v>
      </c>
      <c r="G8" s="13">
        <v>140000</v>
      </c>
      <c r="H8" s="13">
        <v>50000</v>
      </c>
    </row>
    <row r="9" spans="1:8" x14ac:dyDescent="0.3">
      <c r="A9" s="4" t="s">
        <v>116</v>
      </c>
      <c r="B9" s="4" t="s">
        <v>99</v>
      </c>
      <c r="C9" s="4" t="s">
        <v>106</v>
      </c>
      <c r="D9" s="13">
        <v>2200000</v>
      </c>
      <c r="E9" s="13">
        <v>446000</v>
      </c>
      <c r="F9" s="14">
        <v>5</v>
      </c>
      <c r="G9" s="13">
        <v>100000</v>
      </c>
      <c r="H9" s="13">
        <v>50000</v>
      </c>
    </row>
    <row r="10" spans="1:8" x14ac:dyDescent="0.3">
      <c r="A10" s="4" t="s">
        <v>117</v>
      </c>
      <c r="B10" s="4" t="s">
        <v>109</v>
      </c>
      <c r="C10" s="4" t="s">
        <v>100</v>
      </c>
      <c r="D10" s="13">
        <v>3600000</v>
      </c>
      <c r="E10" s="13">
        <v>228000</v>
      </c>
      <c r="F10" s="14">
        <v>2</v>
      </c>
      <c r="G10" s="13">
        <v>150000</v>
      </c>
      <c r="H10" s="13">
        <v>80000</v>
      </c>
    </row>
    <row r="11" spans="1:8" x14ac:dyDescent="0.3">
      <c r="A11" s="4" t="s">
        <v>118</v>
      </c>
      <c r="B11" s="4" t="s">
        <v>99</v>
      </c>
      <c r="C11" s="4" t="s">
        <v>100</v>
      </c>
      <c r="D11" s="13">
        <v>2900000</v>
      </c>
      <c r="E11" s="13">
        <v>260000</v>
      </c>
      <c r="F11" s="14">
        <v>6</v>
      </c>
      <c r="G11" s="13">
        <v>90000</v>
      </c>
      <c r="H11" s="13">
        <v>70000</v>
      </c>
    </row>
    <row r="12" spans="1:8" x14ac:dyDescent="0.3">
      <c r="A12" s="4" t="s">
        <v>119</v>
      </c>
      <c r="B12" s="4" t="s">
        <v>109</v>
      </c>
      <c r="C12" s="4" t="s">
        <v>115</v>
      </c>
      <c r="D12" s="13">
        <v>1600000</v>
      </c>
      <c r="E12" s="13">
        <v>246000</v>
      </c>
      <c r="F12" s="14" t="s">
        <v>107</v>
      </c>
      <c r="G12" s="13">
        <v>150000</v>
      </c>
      <c r="H12" s="13">
        <v>90000</v>
      </c>
    </row>
    <row r="13" spans="1:8" x14ac:dyDescent="0.3">
      <c r="A13" s="4" t="s">
        <v>120</v>
      </c>
      <c r="B13" s="4" t="s">
        <v>99</v>
      </c>
      <c r="C13" s="4" t="s">
        <v>115</v>
      </c>
      <c r="D13" s="13">
        <v>2000000</v>
      </c>
      <c r="E13" s="13">
        <v>228000</v>
      </c>
      <c r="F13" s="14">
        <v>5</v>
      </c>
      <c r="G13" s="13">
        <v>70000</v>
      </c>
      <c r="H13" s="13">
        <v>50000</v>
      </c>
    </row>
    <row r="14" spans="1:8" x14ac:dyDescent="0.3">
      <c r="A14" s="4" t="s">
        <v>121</v>
      </c>
      <c r="B14" s="4" t="s">
        <v>109</v>
      </c>
      <c r="C14" s="4" t="s">
        <v>115</v>
      </c>
      <c r="D14" s="13">
        <v>1700000</v>
      </c>
      <c r="E14" s="13">
        <v>440000</v>
      </c>
      <c r="F14" s="14">
        <v>3</v>
      </c>
      <c r="G14" s="13">
        <v>90000</v>
      </c>
      <c r="H14" s="13">
        <v>130000</v>
      </c>
    </row>
    <row r="15" spans="1:8" x14ac:dyDescent="0.3">
      <c r="A15" s="4" t="s">
        <v>122</v>
      </c>
      <c r="B15" s="4" t="s">
        <v>109</v>
      </c>
      <c r="C15" s="4" t="s">
        <v>100</v>
      </c>
      <c r="D15" s="13">
        <v>3600000</v>
      </c>
      <c r="E15" s="13">
        <v>428000</v>
      </c>
      <c r="F15" s="14">
        <v>2</v>
      </c>
      <c r="G15" s="13">
        <v>90000</v>
      </c>
      <c r="H15" s="15">
        <v>110000</v>
      </c>
    </row>
    <row r="16" spans="1:8" x14ac:dyDescent="0.3">
      <c r="A16" s="4" t="s">
        <v>123</v>
      </c>
      <c r="B16" s="4" t="s">
        <v>109</v>
      </c>
      <c r="C16" s="4" t="s">
        <v>110</v>
      </c>
      <c r="D16" s="13">
        <v>1600000</v>
      </c>
      <c r="E16" s="13">
        <v>228000</v>
      </c>
      <c r="F16" s="14" t="s">
        <v>107</v>
      </c>
      <c r="G16" s="13">
        <v>90000</v>
      </c>
      <c r="H16" s="13">
        <v>120000</v>
      </c>
    </row>
    <row r="17" spans="1:8" x14ac:dyDescent="0.3">
      <c r="A17" s="4" t="s">
        <v>124</v>
      </c>
      <c r="B17" s="4" t="s">
        <v>105</v>
      </c>
      <c r="C17" s="4" t="s">
        <v>115</v>
      </c>
      <c r="D17" s="13">
        <v>3300000</v>
      </c>
      <c r="E17" s="13">
        <v>220000</v>
      </c>
      <c r="F17" s="14">
        <v>8</v>
      </c>
      <c r="G17" s="13">
        <v>150000</v>
      </c>
      <c r="H17" s="13">
        <v>130000</v>
      </c>
    </row>
    <row r="18" spans="1:8" x14ac:dyDescent="0.3">
      <c r="A18" s="4" t="s">
        <v>125</v>
      </c>
      <c r="B18" s="4" t="s">
        <v>109</v>
      </c>
      <c r="C18" s="4" t="s">
        <v>106</v>
      </c>
      <c r="D18" s="13">
        <v>2500000</v>
      </c>
      <c r="E18" s="13">
        <v>200000</v>
      </c>
      <c r="F18" s="14">
        <v>7</v>
      </c>
      <c r="G18" s="13">
        <v>60000</v>
      </c>
      <c r="H18" s="13">
        <v>100000</v>
      </c>
    </row>
    <row r="19" spans="1:8" x14ac:dyDescent="0.3">
      <c r="A19" s="4" t="s">
        <v>126</v>
      </c>
      <c r="B19" s="4" t="s">
        <v>102</v>
      </c>
      <c r="C19" s="4" t="s">
        <v>110</v>
      </c>
      <c r="D19" s="13">
        <v>1900000</v>
      </c>
      <c r="E19" s="13">
        <v>270000</v>
      </c>
      <c r="F19" s="14" t="s">
        <v>107</v>
      </c>
      <c r="G19" s="13">
        <v>100000</v>
      </c>
      <c r="H19" s="13">
        <v>100000</v>
      </c>
    </row>
    <row r="20" spans="1:8" x14ac:dyDescent="0.3">
      <c r="A20" s="4" t="s">
        <v>127</v>
      </c>
      <c r="B20" s="4" t="s">
        <v>102</v>
      </c>
      <c r="C20" s="4" t="s">
        <v>110</v>
      </c>
      <c r="D20" s="13">
        <v>2800000</v>
      </c>
      <c r="E20" s="13">
        <v>420000</v>
      </c>
      <c r="F20" s="14">
        <v>3</v>
      </c>
      <c r="G20" s="13">
        <v>150000</v>
      </c>
      <c r="H20" s="13">
        <v>60000</v>
      </c>
    </row>
    <row r="21" spans="1:8" x14ac:dyDescent="0.3">
      <c r="A21" s="4" t="s">
        <v>128</v>
      </c>
      <c r="B21" s="4" t="s">
        <v>99</v>
      </c>
      <c r="C21" s="4" t="s">
        <v>115</v>
      </c>
      <c r="D21" s="13">
        <v>2900000</v>
      </c>
      <c r="E21" s="13">
        <v>380000</v>
      </c>
      <c r="F21" s="14">
        <v>6</v>
      </c>
      <c r="G21" s="13">
        <v>90000</v>
      </c>
      <c r="H21" s="13">
        <v>140000</v>
      </c>
    </row>
    <row r="22" spans="1:8" x14ac:dyDescent="0.3">
      <c r="A22" s="4" t="s">
        <v>129</v>
      </c>
      <c r="B22" s="4" t="s">
        <v>99</v>
      </c>
      <c r="C22" s="4" t="s">
        <v>115</v>
      </c>
      <c r="D22" s="13">
        <v>2900000</v>
      </c>
      <c r="E22" s="13">
        <v>370000</v>
      </c>
      <c r="F22" s="14">
        <v>2</v>
      </c>
      <c r="G22" s="13">
        <v>150000</v>
      </c>
      <c r="H22" s="13">
        <v>130000</v>
      </c>
    </row>
    <row r="23" spans="1:8" x14ac:dyDescent="0.3">
      <c r="A23" s="4" t="s">
        <v>130</v>
      </c>
      <c r="B23" s="4" t="s">
        <v>102</v>
      </c>
      <c r="C23" s="4" t="s">
        <v>100</v>
      </c>
      <c r="D23" s="13">
        <v>2400000</v>
      </c>
      <c r="E23" s="13">
        <v>420000</v>
      </c>
      <c r="F23" s="14">
        <v>4</v>
      </c>
      <c r="G23" s="13">
        <v>100000</v>
      </c>
      <c r="H23" s="13">
        <v>120000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270A7-44CB-4B45-A670-C05F83BBC9CF}">
  <dimension ref="A1:H17"/>
  <sheetViews>
    <sheetView tabSelected="1" workbookViewId="0">
      <selection activeCell="F26" sqref="F26"/>
    </sheetView>
  </sheetViews>
  <sheetFormatPr defaultRowHeight="16.5" x14ac:dyDescent="0.3"/>
  <cols>
    <col min="3" max="3" width="11" bestFit="1" customWidth="1"/>
    <col min="4" max="8" width="10.875" bestFit="1" customWidth="1"/>
  </cols>
  <sheetData>
    <row r="1" spans="1:8" x14ac:dyDescent="0.3">
      <c r="A1" s="17" t="s">
        <v>58</v>
      </c>
      <c r="B1" s="17"/>
      <c r="C1" s="17"/>
      <c r="D1" s="17"/>
      <c r="E1" s="17"/>
      <c r="F1" s="17"/>
      <c r="G1" s="17"/>
      <c r="H1" s="17"/>
    </row>
    <row r="2" spans="1:8" ht="17.25" thickBot="1" x14ac:dyDescent="0.35">
      <c r="A2" s="8"/>
      <c r="B2" s="8"/>
      <c r="C2" s="8"/>
      <c r="D2" s="8"/>
      <c r="E2" s="8"/>
      <c r="F2" s="8"/>
      <c r="G2" s="8"/>
    </row>
    <row r="3" spans="1:8" x14ac:dyDescent="0.3">
      <c r="A3" s="9" t="s">
        <v>59</v>
      </c>
      <c r="B3" s="9" t="s">
        <v>60</v>
      </c>
      <c r="C3" s="9" t="s">
        <v>86</v>
      </c>
      <c r="D3" s="9" t="s">
        <v>61</v>
      </c>
      <c r="E3" s="9" t="s">
        <v>62</v>
      </c>
      <c r="F3" s="9" t="s">
        <v>63</v>
      </c>
      <c r="G3" s="9" t="s">
        <v>64</v>
      </c>
      <c r="H3" s="9" t="s">
        <v>65</v>
      </c>
    </row>
    <row r="4" spans="1:8" x14ac:dyDescent="0.3">
      <c r="A4" s="8" t="s">
        <v>66</v>
      </c>
      <c r="B4" s="8" t="s">
        <v>67</v>
      </c>
      <c r="C4" s="8" t="s">
        <v>88</v>
      </c>
      <c r="D4" s="8" t="s">
        <v>68</v>
      </c>
      <c r="E4" s="10">
        <v>3000000</v>
      </c>
      <c r="F4" s="11">
        <v>1500000</v>
      </c>
      <c r="G4" s="11">
        <v>425000</v>
      </c>
      <c r="H4" s="11">
        <f>SUM(E4:G4)</f>
        <v>4925000</v>
      </c>
    </row>
    <row r="5" spans="1:8" x14ac:dyDescent="0.3">
      <c r="A5" s="8" t="s">
        <v>69</v>
      </c>
      <c r="B5" s="8" t="s">
        <v>70</v>
      </c>
      <c r="C5" s="8" t="s">
        <v>87</v>
      </c>
      <c r="D5" s="8" t="s">
        <v>71</v>
      </c>
      <c r="E5" s="10">
        <v>2700000</v>
      </c>
      <c r="F5" s="11">
        <v>1305000</v>
      </c>
      <c r="G5" s="11">
        <v>485000</v>
      </c>
      <c r="H5" s="11">
        <f t="shared" ref="H5:H17" si="0">SUM(E5:G5)</f>
        <v>4490000</v>
      </c>
    </row>
    <row r="6" spans="1:8" x14ac:dyDescent="0.3">
      <c r="A6" s="8" t="s">
        <v>66</v>
      </c>
      <c r="B6" s="8" t="s">
        <v>70</v>
      </c>
      <c r="C6" s="8" t="s">
        <v>87</v>
      </c>
      <c r="D6" s="8" t="s">
        <v>72</v>
      </c>
      <c r="E6" s="10">
        <v>3000000</v>
      </c>
      <c r="F6" s="11">
        <v>1500000</v>
      </c>
      <c r="G6" s="11">
        <v>846000</v>
      </c>
      <c r="H6" s="11">
        <f t="shared" si="0"/>
        <v>5346000</v>
      </c>
    </row>
    <row r="7" spans="1:8" x14ac:dyDescent="0.3">
      <c r="A7" s="8" t="s">
        <v>73</v>
      </c>
      <c r="B7" s="8" t="s">
        <v>67</v>
      </c>
      <c r="C7" s="8" t="s">
        <v>88</v>
      </c>
      <c r="D7" s="8" t="s">
        <v>74</v>
      </c>
      <c r="E7" s="10">
        <v>2200000</v>
      </c>
      <c r="F7" s="11">
        <v>980000</v>
      </c>
      <c r="G7" s="11">
        <v>375000</v>
      </c>
      <c r="H7" s="11">
        <f t="shared" si="0"/>
        <v>3555000</v>
      </c>
    </row>
    <row r="8" spans="1:8" x14ac:dyDescent="0.3">
      <c r="A8" s="8" t="s">
        <v>73</v>
      </c>
      <c r="B8" s="8" t="s">
        <v>75</v>
      </c>
      <c r="C8" s="8" t="s">
        <v>89</v>
      </c>
      <c r="D8" s="8" t="s">
        <v>76</v>
      </c>
      <c r="E8" s="10">
        <v>2200000</v>
      </c>
      <c r="F8" s="11">
        <v>780000</v>
      </c>
      <c r="G8" s="11">
        <v>300000</v>
      </c>
      <c r="H8" s="11">
        <f t="shared" si="0"/>
        <v>3280000</v>
      </c>
    </row>
    <row r="9" spans="1:8" x14ac:dyDescent="0.3">
      <c r="A9" s="8" t="s">
        <v>66</v>
      </c>
      <c r="B9" s="8" t="s">
        <v>75</v>
      </c>
      <c r="C9" s="8" t="s">
        <v>89</v>
      </c>
      <c r="D9" s="8" t="s">
        <v>77</v>
      </c>
      <c r="E9" s="10">
        <v>3000000</v>
      </c>
      <c r="F9" s="11">
        <v>1500000</v>
      </c>
      <c r="G9" s="11">
        <v>1500000</v>
      </c>
      <c r="H9" s="11">
        <f t="shared" si="0"/>
        <v>6000000</v>
      </c>
    </row>
    <row r="10" spans="1:8" x14ac:dyDescent="0.3">
      <c r="A10" s="8" t="s">
        <v>69</v>
      </c>
      <c r="B10" s="8" t="s">
        <v>67</v>
      </c>
      <c r="C10" s="8" t="s">
        <v>89</v>
      </c>
      <c r="D10" s="8" t="s">
        <v>78</v>
      </c>
      <c r="E10" s="10">
        <v>2700000</v>
      </c>
      <c r="F10" s="11">
        <v>1305000</v>
      </c>
      <c r="G10" s="11">
        <v>626000</v>
      </c>
      <c r="H10" s="11">
        <f t="shared" si="0"/>
        <v>4631000</v>
      </c>
    </row>
    <row r="11" spans="1:8" x14ac:dyDescent="0.3">
      <c r="A11" s="8" t="s">
        <v>73</v>
      </c>
      <c r="B11" s="8" t="s">
        <v>70</v>
      </c>
      <c r="C11" s="8" t="s">
        <v>87</v>
      </c>
      <c r="D11" s="8" t="s">
        <v>79</v>
      </c>
      <c r="E11" s="10">
        <v>2200000</v>
      </c>
      <c r="F11" s="11">
        <v>980000</v>
      </c>
      <c r="G11" s="11">
        <v>739000</v>
      </c>
      <c r="H11" s="11">
        <f t="shared" si="0"/>
        <v>3919000</v>
      </c>
    </row>
    <row r="12" spans="1:8" x14ac:dyDescent="0.3">
      <c r="A12" s="8" t="s">
        <v>69</v>
      </c>
      <c r="B12" s="8" t="s">
        <v>75</v>
      </c>
      <c r="C12" s="8" t="s">
        <v>88</v>
      </c>
      <c r="D12" s="8" t="s">
        <v>80</v>
      </c>
      <c r="E12" s="10">
        <v>2700000</v>
      </c>
      <c r="F12" s="11">
        <v>1305000</v>
      </c>
      <c r="G12" s="11">
        <v>302000</v>
      </c>
      <c r="H12" s="11">
        <f t="shared" si="0"/>
        <v>4307000</v>
      </c>
    </row>
    <row r="13" spans="1:8" x14ac:dyDescent="0.3">
      <c r="A13" s="8" t="s">
        <v>66</v>
      </c>
      <c r="B13" s="8" t="s">
        <v>67</v>
      </c>
      <c r="C13" s="8" t="s">
        <v>87</v>
      </c>
      <c r="D13" s="8" t="s">
        <v>81</v>
      </c>
      <c r="E13" s="10">
        <v>3000000</v>
      </c>
      <c r="F13" s="11">
        <v>1500000</v>
      </c>
      <c r="G13" s="11">
        <v>571000</v>
      </c>
      <c r="H13" s="11">
        <f t="shared" si="0"/>
        <v>5071000</v>
      </c>
    </row>
    <row r="14" spans="1:8" x14ac:dyDescent="0.3">
      <c r="A14" s="8" t="s">
        <v>69</v>
      </c>
      <c r="B14" s="8" t="s">
        <v>75</v>
      </c>
      <c r="C14" s="8" t="s">
        <v>88</v>
      </c>
      <c r="D14" s="8" t="s">
        <v>82</v>
      </c>
      <c r="E14" s="10">
        <v>2700000</v>
      </c>
      <c r="F14" s="11">
        <v>1305000</v>
      </c>
      <c r="G14" s="11">
        <v>812100</v>
      </c>
      <c r="H14" s="11">
        <f t="shared" si="0"/>
        <v>4817100</v>
      </c>
    </row>
    <row r="15" spans="1:8" x14ac:dyDescent="0.3">
      <c r="A15" s="8" t="s">
        <v>69</v>
      </c>
      <c r="B15" s="8" t="s">
        <v>70</v>
      </c>
      <c r="C15" s="8" t="s">
        <v>87</v>
      </c>
      <c r="D15" s="8" t="s">
        <v>83</v>
      </c>
      <c r="E15" s="10">
        <v>2700000</v>
      </c>
      <c r="F15" s="11">
        <v>1305000</v>
      </c>
      <c r="G15" s="11">
        <v>1350000</v>
      </c>
      <c r="H15" s="11">
        <f t="shared" si="0"/>
        <v>5355000</v>
      </c>
    </row>
    <row r="16" spans="1:8" x14ac:dyDescent="0.3">
      <c r="A16" s="8" t="s">
        <v>66</v>
      </c>
      <c r="B16" s="8" t="s">
        <v>67</v>
      </c>
      <c r="C16" s="8" t="s">
        <v>87</v>
      </c>
      <c r="D16" s="8" t="s">
        <v>84</v>
      </c>
      <c r="E16" s="10">
        <v>3000000</v>
      </c>
      <c r="F16" s="11">
        <v>1500000</v>
      </c>
      <c r="G16" s="11">
        <v>2177000</v>
      </c>
      <c r="H16" s="11">
        <f t="shared" si="0"/>
        <v>6677000</v>
      </c>
    </row>
    <row r="17" spans="1:8" x14ac:dyDescent="0.3">
      <c r="A17" s="8" t="s">
        <v>73</v>
      </c>
      <c r="B17" s="8" t="s">
        <v>75</v>
      </c>
      <c r="C17" s="8" t="s">
        <v>88</v>
      </c>
      <c r="D17" s="8" t="s">
        <v>85</v>
      </c>
      <c r="E17" s="10">
        <v>2200000</v>
      </c>
      <c r="F17" s="11">
        <v>980000</v>
      </c>
      <c r="G17" s="11">
        <v>371500</v>
      </c>
      <c r="H17" s="11">
        <f t="shared" si="0"/>
        <v>3551500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기본작업-1</vt:lpstr>
      <vt:lpstr>기본작업-2</vt:lpstr>
      <vt:lpstr>기본작업-3</vt:lpstr>
      <vt:lpstr>분석작업-1</vt:lpstr>
      <vt:lpstr>분석작업-2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2024-04-08T08:55:14Z</dcterms:created>
  <dcterms:modified xsi:type="dcterms:W3CDTF">2025-06-01T17:09:32Z</dcterms:modified>
</cp:coreProperties>
</file>